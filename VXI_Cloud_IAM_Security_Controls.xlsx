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9b5ed37e05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3454aa2ae3df4576"/>
    <x:sheet xmlns:r="http://schemas.openxmlformats.org/officeDocument/2006/relationships" name="Control Catalog" sheetId="2" r:id="R6bfdd0d251db4ac0"/>
    <x:sheet xmlns:r="http://schemas.openxmlformats.org/officeDocument/2006/relationships" name="IAM Role Model" sheetId="3" r:id="Rf9a5986d185e4912"/>
    <x:sheet xmlns:r="http://schemas.openxmlformats.org/officeDocument/2006/relationships" name="Review Gates" sheetId="4" r:id="Rf102c13466b048e2"/>
    <x:sheet xmlns:r="http://schemas.openxmlformats.org/officeDocument/2006/relationships" name="Transition Roadmap" sheetId="5" r:id="R9c11679ece2f4a4a"/>
    <x:sheet xmlns:r="http://schemas.openxmlformats.org/officeDocument/2006/relationships" name="Evidence and Metrics" sheetId="6" r:id="R5463ffeb72a9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7324D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F"/>
      </x:patternFill>
    </x:fill>
    <x:fill>
      <x:patternFill patternType="solid">
        <x:fgColor rgb="FF0F766E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2E7D32"/>
      </x:font>
      <x:fill>
        <x:patternFill patternType="solid">
          <x:bgColor rgb="FFEAF7EA"/>
        </x:patternFill>
      </x:fill>
    </x:dxf>
    <x:dxf>
      <x:font>
        <x:b/>
        <x:color rgb="FFB7791F"/>
      </x:font>
      <x:fill>
        <x:patternFill patternType="solid"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e086eae6e4f87" /><Relationship Type="http://schemas.openxmlformats.org/officeDocument/2006/relationships/theme" Target="/xl/theme/theme1.xml" Id="R79a5d9c998bf4c70" /><Relationship Type="http://schemas.openxmlformats.org/officeDocument/2006/relationships/sharedStrings" Target="/xl/sharedStrings.xml" Id="R50684037f87747e8" /><Relationship Type="http://schemas.openxmlformats.org/officeDocument/2006/relationships/worksheet" Target="/xl/worksheets/sheet1.xml" Id="R3454aa2ae3df4576" /><Relationship Type="http://schemas.openxmlformats.org/officeDocument/2006/relationships/worksheet" Target="/xl/worksheets/sheet2.xml" Id="R6bfdd0d251db4ac0" /><Relationship Type="http://schemas.openxmlformats.org/officeDocument/2006/relationships/worksheet" Target="/xl/worksheets/sheet3.xml" Id="Rf9a5986d185e4912" /><Relationship Type="http://schemas.openxmlformats.org/officeDocument/2006/relationships/worksheet" Target="/xl/worksheets/sheet4.xml" Id="Rf102c13466b048e2" /><Relationship Type="http://schemas.openxmlformats.org/officeDocument/2006/relationships/worksheet" Target="/xl/worksheets/sheet5.xml" Id="R9c11679ece2f4a4a" /><Relationship Type="http://schemas.openxmlformats.org/officeDocument/2006/relationships/worksheet" Target="/xl/worksheets/sheet6.xml" Id="R5463ffeb72a9446f" /></Relationships>
</file>

<file path=xl/tables/table1.xml><?xml version="1.0" encoding="utf-8"?>
<x:table xmlns:x="http://schemas.openxmlformats.org/spreadsheetml/2006/main" id="1" name="VXI_Control_Catalog" displayName="VXI_Control_Catalog" ref="A4:O70" headerRowCount="1">
  <x:tableColumns count="15">
    <x:tableColumn id="1" name="Control ID"/>
    <x:tableColumn id="2" name="Domain"/>
    <x:tableColumn id="3" name="Subdomain"/>
    <x:tableColumn id="4" name="Control Name"/>
    <x:tableColumn id="5" name="Control Objective / Requirement"/>
    <x:tableColumn id="6" name="Minimum Evidence"/>
    <x:tableColumn id="7" name="Primary Owner"/>
    <x:tableColumn id="8" name="Frequency"/>
    <x:tableColumn id="9" name="Priority"/>
    <x:tableColumn id="10" name="Status"/>
    <x:tableColumn id="11" name="Target Date"/>
    <x:tableColumn id="12" name="Control Type"/>
    <x:tableColumn id="13" name="Environment"/>
    <x:tableColumn id="14" name="Implementation Notes"/>
    <x:tableColumn id="15" name="Audit Notes"/>
  </x:tableColumns>
  <x:tableStyleInfo name="TableStyleMedium2" showRowStripes="1"/>
</x:table>
</file>

<file path=xl/tables/table2.xml><?xml version="1.0" encoding="utf-8"?>
<x:table xmlns:x="http://schemas.openxmlformats.org/spreadsheetml/2006/main" id="2" name="IAM_Role_Model" displayName="IAM_Role_Model" ref="A4:F12" headerRowCount="1">
  <x:tableColumns count="6">
    <x:tableColumn id="1" name="Persona / Role"/>
    <x:tableColumn id="2" name="Dev"/>
    <x:tableColumn id="3" name="Test"/>
    <x:tableColumn id="4" name="Staging"/>
    <x:tableColumn id="5" name="Prod"/>
    <x:tableColumn id="6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view_Gates" displayName="Review_Gates" ref="A4:E11" headerRowCount="1">
  <x:tableColumns count="5">
    <x:tableColumn id="1" name="Gate"/>
    <x:tableColumn id="2" name="When"/>
    <x:tableColumn id="3" name="Required Participants"/>
    <x:tableColumn id="4" name="Minimum Entry Criteria"/>
    <x:tableColumn id="5" name="Exit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Transition_Roadmap" displayName="Transition_Roadmap" ref="A4:D9" headerRowCount="1">
  <x:tableColumns count="4">
    <x:tableColumn id="1" name="Phase"/>
    <x:tableColumn id="2" name="Timeline"/>
    <x:tableColumn id="3" name="Key Outcomes"/>
    <x:tableColumn id="4" name="Primary Owners"/>
  </x:tableColumns>
  <x:tableStyleInfo name="TableStyleMedium2" showRowStripes="1"/>
</x:table>
</file>

<file path=xl/tables/table5.xml><?xml version="1.0" encoding="utf-8"?>
<x:table xmlns:x="http://schemas.openxmlformats.org/spreadsheetml/2006/main" id="5" name="Evidence_Metrics" displayName="Evidence_Metrics" ref="A4:D10" headerRowCount="1">
  <x:tableColumns count="4">
    <x:tableColumn id="1" name="Evidence Area"/>
    <x:tableColumn id="2" name="Examples"/>
    <x:tableColumn id="3" name="Cadence"/>
    <x:tableColumn id="4" name="System of Reco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6b7eb6d98645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7f1257148840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d3fd846b164b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f56018257c40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8672f69b6c4d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4" max="4" width="30" hidden="0" customWidth="1"/>
    <x:col min="5" max="5" width="30" hidden="0" customWidth="1"/>
  </x:cols>
  <x:sheetData>
    <x:row r="1" ht="28" customHeight="1">
      <x:c r="A1" s="18" t="str">
        <x:v>VXI Cloud, IAM and SDLC Controls</x:v>
      </x:c>
      <x:c r="B1" s="19"/>
      <x:c r="C1" s="19"/>
      <x:c r="D1" s="19"/>
      <x:c r="E1" s="19"/>
    </x:row>
    <x:row r="2" ht="28" customHeight="1">
      <x:c r="A2" s="20" t="str">
        <x:v>Target control model for developer cloud access, secure provisioning, architecture/security review, release readiness, operations, inventory, cost, and audit evidence.</x:v>
      </x:c>
      <x:c r="B2" s="19"/>
      <x:c r="C2" s="19"/>
      <x:c r="D2" s="19"/>
      <x:c r="E2" s="19"/>
    </x:row>
    <x:row r="3">
      <x:c r="A3" s="19"/>
      <x:c r="B3" s="19"/>
      <x:c r="C3" s="19"/>
      <x:c r="D3" s="19"/>
      <x:c r="E3" s="19"/>
    </x:row>
    <x:row r="4">
      <x:c r="A4" s="16" t="str">
        <x:v>Theme</x:v>
      </x:c>
      <x:c r="B4" s="16" t="str">
        <x:v>Target State</x:v>
      </x:c>
      <x:c r="C4" s="19"/>
      <x:c r="D4" s="16" t="str">
        <x:v>Metric</x:v>
      </x:c>
      <x:c r="E4" s="16" t="str">
        <x:v>Formula / Target</x:v>
      </x:c>
    </x:row>
    <x:row r="5">
      <x:c r="A5" s="17" t="str">
        <x:v>Access model</x:v>
      </x:c>
      <x:c r="B5" s="17" t="str">
        <x:v>Developers have least-privilege read/troubleshooting access by default. Privileged changes are through IaC pipelines or approved time-bound exceptions.</x:v>
      </x:c>
      <x:c r="C5" s="19"/>
      <x:c r="D5" s="17" t="str">
        <x:v>Total controls</x:v>
      </x:c>
      <x:c r="E5" s="17" t="n">
        <x:f>COUNTA('Control Catalog'!A2:A500)</x:f>
        <x:v>68</x:v>
      </x:c>
    </x:row>
    <x:row r="6">
      <x:c r="A6" s="17" t="str">
        <x:v>Cloud provisioning</x:v>
      </x:c>
      <x:c r="B6" s="17" t="str">
        <x:v>Cloud Infra provisions approved resources through repeatable IaC, service catalog patterns, mandatory tags, budget controls, and drift detection.</x:v>
      </x:c>
      <x:c r="C6" s="19"/>
      <x:c r="D6" s="17" t="str">
        <x:v>Critical controls</x:v>
      </x:c>
      <x:c r="E6" s="17" t="n">
        <x:f>COUNTIF('Control Catalog'!I2:I500,"Critical")</x:f>
        <x:v>34</x:v>
      </x:c>
    </x:row>
    <x:row r="7">
      <x:c r="A7" s="17" t="str">
        <x:v>Dev environment governance</x:v>
      </x:c>
      <x:c r="B7" s="17" t="str">
        <x:v>Dev is not production. Dev/test environments have owners, expiration, data restrictions, cost controls, and cleanup automation.</x:v>
      </x:c>
      <x:c r="C7" s="19"/>
      <x:c r="D7" s="17" t="str">
        <x:v>Implemented or validated</x:v>
      </x:c>
      <x:c r="E7" s="17" t="n">
        <x:f>COUNTIF('Control Catalog'!M2:M500,"Implemented")+COUNTIF('Control Catalog'!M2:M500,"Validated")</x:f>
        <x:v>0</x:v>
      </x:c>
    </x:row>
    <x:row r="8">
      <x:c r="A8" s="17" t="str">
        <x:v>Architecture and security reviews</x:v>
      </x:c>
      <x:c r="B8" s="17" t="str">
        <x:v>Architecture, security, software license, operational readiness, and go/no-go checkpoints are part of project timelines before production.</x:v>
      </x:c>
      <x:c r="C8" s="19"/>
      <x:c r="D8" s="17" t="str">
        <x:v>Open critical controls</x:v>
      </x:c>
      <x:c r="E8" s="17" t="n">
        <x:f>COUNTIFS('Control Catalog'!I2:I500,"Critical",'Control Catalog'!M2:M500,"&lt;&gt;Implemented",'Control Catalog'!M2:M500,"&lt;&gt;Validated")</x:f>
        <x:v>34</x:v>
      </x:c>
    </x:row>
    <x:row r="9">
      <x:c r="A9" s="17" t="str">
        <x:v>Operations and inventory</x:v>
      </x:c>
      <x:c r="B9" s="17" t="str">
        <x:v>No production release without monitoring, logging, support model, runbooks, CMDB onboarding, dependency inventory, and evidence repository.</x:v>
      </x:c>
      <x:c r="C9" s="19"/>
      <x:c r="D9" s="19"/>
      <x:c r="E9" s="19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8" hidden="0" customWidth="1"/>
    <x:col min="5" max="5" width="52" hidden="0" customWidth="1"/>
    <x:col min="6" max="6" width="5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28" customHeight="1">
      <x:c r="A1" s="18" t="str">
        <x:v>VXI Control Catalog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 ht="28" customHeight="1">
      <x:c r="A2" s="20" t="str">
        <x:v>Control set based on the Cloud Dev IAM discussion and VXI target governance requirements.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</x:row>
    <x:row r="4">
      <x:c r="A4" s="16" t="str">
        <x:v>Control ID</x:v>
      </x:c>
      <x:c r="B4" s="16" t="str">
        <x:v>Domain</x:v>
      </x:c>
      <x:c r="C4" s="16" t="str">
        <x:v>Subdomain</x:v>
      </x:c>
      <x:c r="D4" s="16" t="str">
        <x:v>Control Name</x:v>
      </x:c>
      <x:c r="E4" s="16" t="str">
        <x:v>Control Objective / Requirement</x:v>
      </x:c>
      <x:c r="F4" s="16" t="str">
        <x:v>Minimum Evidence</x:v>
      </x:c>
      <x:c r="G4" s="16" t="str">
        <x:v>Primary Owner</x:v>
      </x:c>
      <x:c r="H4" s="16" t="str">
        <x:v>Frequency</x:v>
      </x:c>
      <x:c r="I4" s="16" t="str">
        <x:v>Priority</x:v>
      </x:c>
      <x:c r="J4" s="16" t="str">
        <x:v>Status</x:v>
      </x:c>
      <x:c r="K4" s="16" t="str">
        <x:v>Target Date</x:v>
      </x:c>
      <x:c r="L4" s="16" t="str">
        <x:v>Control Type</x:v>
      </x:c>
      <x:c r="M4" s="16" t="str">
        <x:v>Environment</x:v>
      </x:c>
      <x:c r="N4" s="16" t="str">
        <x:v>Implementation Notes</x:v>
      </x:c>
      <x:c r="O4" s="16" t="str">
        <x:v>Audit Notes</x:v>
      </x:c>
    </x:row>
    <x:row r="5">
      <x:c r="A5" s="17" t="str">
        <x:v>VXI-GOV-001</x:v>
      </x:c>
      <x:c r="B5" s="17" t="str">
        <x:v>Governance</x:v>
      </x:c>
      <x:c r="C5" s="17" t="str">
        <x:v>Planning and Intake</x:v>
      </x:c>
      <x:c r="D5" s="17" t="str">
        <x:v>Project kickoff governance</x:v>
      </x:c>
      <x:c r="E5" s="17" t="str">
        <x:v>All cloud-bound application or service initiatives must include Cloud Infra, IT Security, DevOps, Architecture, and product ownership during project kickoff or Sprint 0.</x:v>
      </x:c>
      <x:c r="F5" s="17" t="str">
        <x:v>Project intake record, stakeholder list, kickoff minutes, architecture/security workstream dates</x:v>
      </x:c>
      <x:c r="G5" s="17" t="str">
        <x:v>Architecture</x:v>
      </x:c>
      <x:c r="H5" s="17" t="str">
        <x:v>Each project</x:v>
      </x:c>
      <x:c r="I5" s="17" t="str">
        <x:v>Critical</x:v>
      </x:c>
      <x:c r="J5" s="17" t="str">
        <x:v>Not Started</x:v>
      </x:c>
      <x:c r="K5" s="17" t="str"/>
      <x:c r="L5" s="17" t="str">
        <x:v>Preventive</x:v>
      </x:c>
      <x:c r="M5" s="17" t="str">
        <x:v>All</x:v>
      </x:c>
      <x:c r="N5" s="17" t="str">
        <x:v>Applies before dev cloud provisioning; prevents late release surprises.</x:v>
      </x:c>
      <x:c r="O5" s="17" t="str"/>
    </x:row>
    <x:row r="6">
      <x:c r="A6" s="17" t="str">
        <x:v>VXI-GOV-002</x:v>
      </x:c>
      <x:c r="B6" s="17" t="str">
        <x:v>Governance</x:v>
      </x:c>
      <x:c r="C6" s="17" t="str">
        <x:v>Planning and Intake</x:v>
      </x:c>
      <x:c r="D6" s="17" t="str">
        <x:v>Business purpose and owner</x:v>
      </x:c>
      <x:c r="E6" s="17" t="str">
        <x:v>Every dev/test/prod environment must have a named business owner, technical owner, cost center, approved repo, intended production path, and expected duration.</x:v>
      </x:c>
      <x:c r="F6" s="17" t="str">
        <x:v>Request ticket, owner fields, cost center, repo link, approval record</x:v>
      </x:c>
      <x:c r="G6" s="17" t="str">
        <x:v>Product Team</x:v>
      </x:c>
      <x:c r="H6" s="17" t="str">
        <x:v>Each environment</x:v>
      </x:c>
      <x:c r="I6" s="17" t="str">
        <x:v>Critical</x:v>
      </x:c>
      <x:c r="J6" s="17" t="str">
        <x:v>Not Started</x:v>
      </x:c>
      <x:c r="K6" s="17" t="str"/>
      <x:c r="L6" s="17" t="str">
        <x:v>Preventive</x:v>
      </x:c>
      <x:c r="M6" s="17" t="str">
        <x:v>All</x:v>
      </x:c>
      <x:c r="N6" s="17" t="str">
        <x:v>Required for cloud account/project/subscription creation.</x:v>
      </x:c>
      <x:c r="O6" s="17" t="str"/>
    </x:row>
    <x:row r="7">
      <x:c r="A7" s="17" t="str">
        <x:v>VXI-GOV-003</x:v>
      </x:c>
      <x:c r="B7" s="17" t="str">
        <x:v>Governance</x:v>
      </x:c>
      <x:c r="C7" s="17" t="str">
        <x:v>Planning and Intake</x:v>
      </x:c>
      <x:c r="D7" s="17" t="str">
        <x:v>Production readiness milestones</x:v>
      </x:c>
      <x:c r="E7" s="17" t="str">
        <x:v>Project plans must include architecture review, security review, operational readiness, software license review, and release approval milestones.</x:v>
      </x:c>
      <x:c r="F7" s="17" t="str">
        <x:v>Project plan, release checklist, review signoffs</x:v>
      </x:c>
      <x:c r="G7" s="17" t="str">
        <x:v>DevOps</x:v>
      </x:c>
      <x:c r="H7" s="17" t="str">
        <x:v>Each project</x:v>
      </x:c>
      <x:c r="I7" s="17" t="str">
        <x:v>High</x:v>
      </x:c>
      <x:c r="J7" s="17" t="str">
        <x:v>Not Started</x:v>
      </x:c>
      <x:c r="K7" s="17" t="str"/>
      <x:c r="L7" s="17" t="str">
        <x:v>Preventive</x:v>
      </x:c>
      <x:c r="M7" s="17" t="str">
        <x:v>All</x:v>
      </x:c>
      <x:c r="N7" s="17" t="str">
        <x:v>Milestones must be considered in timelines before release commitments are made.</x:v>
      </x:c>
      <x:c r="O7" s="17" t="str"/>
    </x:row>
    <x:row r="8">
      <x:c r="A8" s="17" t="str">
        <x:v>VXI-GOV-004</x:v>
      </x:c>
      <x:c r="B8" s="17" t="str">
        <x:v>Governance</x:v>
      </x:c>
      <x:c r="C8" s="17" t="str">
        <x:v>Policy and Standards</x:v>
      </x:c>
      <x:c r="D8" s="17" t="str">
        <x:v>Cloud environment standard</x:v>
      </x:c>
      <x:c r="E8" s="17" t="str">
        <x:v>VXI must maintain a documented standard for dev, test, staging, and prod environments, including approved services, network patterns, IAM roles, tagging, logging, backup, and data rules.</x:v>
      </x:c>
      <x:c r="F8" s="17" t="str">
        <x:v>Cloud environment standard, version history, exception log</x:v>
      </x:c>
      <x:c r="G8" s="17" t="str">
        <x:v>Cloud Infra</x:v>
      </x:c>
      <x:c r="H8" s="17" t="str">
        <x:v>Quarterly</x:v>
      </x:c>
      <x:c r="I8" s="17" t="str">
        <x:v>High</x:v>
      </x:c>
      <x:c r="J8" s="17" t="str">
        <x:v>Not Started</x:v>
      </x:c>
      <x:c r="K8" s="17" t="str"/>
      <x:c r="L8" s="17" t="str">
        <x:v>Preventive</x:v>
      </x:c>
      <x:c r="M8" s="17" t="str">
        <x:v>All</x:v>
      </x:c>
      <x:c r="N8" s="17" t="str">
        <x:v>Standard should be provider-neutral with AWS/GCP/Azure appendices as needed.</x:v>
      </x:c>
      <x:c r="O8" s="17" t="str"/>
    </x:row>
    <x:row r="9">
      <x:c r="A9" s="17" t="str">
        <x:v>VXI-GOV-005</x:v>
      </x:c>
      <x:c r="B9" s="17" t="str">
        <x:v>Governance</x:v>
      </x:c>
      <x:c r="C9" s="17" t="str">
        <x:v>Policy and Standards</x:v>
      </x:c>
      <x:c r="D9" s="17" t="str">
        <x:v>Exception governance</x:v>
      </x:c>
      <x:c r="E9" s="17" t="str">
        <x:v>Exceptions to cloud, security, IAM, networking, or release standards must be approved, time-bound, risk accepted, tracked, and reviewed before expiration.</x:v>
      </x:c>
      <x:c r="F9" s="17" t="str">
        <x:v>Exception ticket, risk acceptance, expiration date, compensating controls</x:v>
      </x:c>
      <x:c r="G9" s="17" t="str">
        <x:v>IT Security</x:v>
      </x:c>
      <x:c r="H9" s="17" t="str">
        <x:v>Each exception</x:v>
      </x:c>
      <x:c r="I9" s="17" t="str">
        <x:v>Critical</x:v>
      </x:c>
      <x:c r="J9" s="17" t="str">
        <x:v>Not Started</x:v>
      </x:c>
      <x:c r="K9" s="17" t="str"/>
      <x:c r="L9" s="17" t="str">
        <x:v>Preventive</x:v>
      </x:c>
      <x:c r="M9" s="17" t="str">
        <x:v>All</x:v>
      </x:c>
      <x:c r="N9" s="17" t="str">
        <x:v>No permanent exception without executive risk acceptance.</x:v>
      </x:c>
      <x:c r="O9" s="17" t="str"/>
    </x:row>
    <x:row r="10">
      <x:c r="A10" s="17" t="str">
        <x:v>VXI-GOV-006</x:v>
      </x:c>
      <x:c r="B10" s="17" t="str">
        <x:v>Governance</x:v>
      </x:c>
      <x:c r="C10" s="17" t="str">
        <x:v>Segregation of duties</x:v>
      </x:c>
      <x:c r="D10" s="17" t="str">
        <x:v>Independent approvals</x:v>
      </x:c>
      <x:c r="E10" s="17" t="str">
        <x:v>Developers cannot independently approve their own privileged access, production changes, security exceptions, or go-live decisions.</x:v>
      </x:c>
      <x:c r="F10" s="17" t="str">
        <x:v>Approval workflow evidence, reviewer list, audit trail</x:v>
      </x:c>
      <x:c r="G10" s="17" t="str">
        <x:v>IT Security</x:v>
      </x:c>
      <x:c r="H10" s="17" t="str">
        <x:v>Each approval</x:v>
      </x:c>
      <x:c r="I10" s="17" t="str">
        <x:v>Critical</x:v>
      </x:c>
      <x:c r="J10" s="17" t="str">
        <x:v>Not Started</x:v>
      </x:c>
      <x:c r="K10" s="17" t="str"/>
      <x:c r="L10" s="17" t="str">
        <x:v>Preventive</x:v>
      </x:c>
      <x:c r="M10" s="17" t="str">
        <x:v>All</x:v>
      </x:c>
      <x:c r="N10" s="17" t="str">
        <x:v>Separates requestor, approver, implementer, and validator where practical.</x:v>
      </x:c>
      <x:c r="O10" s="17" t="str"/>
    </x:row>
    <x:row r="11">
      <x:c r="A11" s="17" t="str">
        <x:v>VXI-GOV-007</x:v>
      </x:c>
      <x:c r="B11" s="17" t="str">
        <x:v>Governance</x:v>
      </x:c>
      <x:c r="C11" s="17" t="str">
        <x:v>Risk Management</x:v>
      </x:c>
      <x:c r="D11" s="17" t="str">
        <x:v>Risk register linkage</x:v>
      </x:c>
      <x:c r="E11" s="17" t="str">
        <x:v>Material architecture, IAM, data, public exposure, cost, vendor, and operational risks must be recorded in a risk register with owners and due dates.</x:v>
      </x:c>
      <x:c r="F11" s="17" t="str">
        <x:v>Risk register, risk decisions, mitigation status</x:v>
      </x:c>
      <x:c r="G11" s="17" t="str">
        <x:v>IT Security</x:v>
      </x:c>
      <x:c r="H11" s="17" t="str">
        <x:v>Monthly</x:v>
      </x:c>
      <x:c r="I11" s="17" t="str">
        <x:v>High</x:v>
      </x:c>
      <x:c r="J11" s="17" t="str">
        <x:v>Not Started</x:v>
      </x:c>
      <x:c r="K11" s="17" t="str"/>
      <x:c r="L11" s="17" t="str">
        <x:v>Preventive</x:v>
      </x:c>
      <x:c r="M11" s="17" t="str">
        <x:v>All</x:v>
      </x:c>
      <x:c r="N11" s="17" t="str">
        <x:v>Links control gaps to accountable remediation.</x:v>
      </x:c>
      <x:c r="O11" s="17" t="str"/>
    </x:row>
    <x:row r="12">
      <x:c r="A12" s="17" t="str">
        <x:v>VXI-GOV-008</x:v>
      </x:c>
      <x:c r="B12" s="17" t="str">
        <x:v>Governance</x:v>
      </x:c>
      <x:c r="C12" s="17" t="str">
        <x:v>Auditability</x:v>
      </x:c>
      <x:c r="D12" s="17" t="str">
        <x:v>Control evidence repository</x:v>
      </x:c>
      <x:c r="E12" s="17" t="str">
        <x:v>Evidence for required controls must be stored in a central auditable repository with retention aligned to VXI policy.</x:v>
      </x:c>
      <x:c r="F12" s="17" t="str">
        <x:v>Evidence repository index, retention rule, sample evidence</x:v>
      </x:c>
      <x:c r="G12" s="17" t="str">
        <x:v>IT Security</x:v>
      </x:c>
      <x:c r="H12" s="17" t="str">
        <x:v>Quarterly</x:v>
      </x:c>
      <x:c r="I12" s="17" t="str">
        <x:v>Medium</x:v>
      </x:c>
      <x:c r="J12" s="17" t="str">
        <x:v>Not Started</x:v>
      </x:c>
      <x:c r="K12" s="17" t="str"/>
      <x:c r="L12" s="17" t="str">
        <x:v>Preventive</x:v>
      </x:c>
      <x:c r="M12" s="17" t="str">
        <x:v>All</x:v>
      </x:c>
      <x:c r="N12" s="17" t="str">
        <x:v>Avoids evidence living only in emails or chats.</x:v>
      </x:c>
      <x:c r="O12" s="17" t="str"/>
    </x:row>
    <x:row r="13">
      <x:c r="A13" s="17" t="str">
        <x:v>VXI-IAM-001</x:v>
      </x:c>
      <x:c r="B13" s="17" t="str">
        <x:v>IAM</x:v>
      </x:c>
      <x:c r="C13" s="17" t="str">
        <x:v>Role Model</x:v>
      </x:c>
      <x:c r="D13" s="17" t="str">
        <x:v>Separate environment roles</x:v>
      </x:c>
      <x:c r="E13" s="17" t="str">
        <x:v>Dev, test, staging, and prod must use distinct IAM roles with separate permission boundaries and approval models.</x:v>
      </x:c>
      <x:c r="F13" s="17" t="str">
        <x:v>IAM role matrix, cloud policy exports, access review evidence</x:v>
      </x:c>
      <x:c r="G13" s="17" t="str">
        <x:v>Cloud Infra</x:v>
      </x:c>
      <x:c r="H13" s="17" t="str">
        <x:v>Quarterly</x:v>
      </x:c>
      <x:c r="I13" s="17" t="str">
        <x:v>Critical</x:v>
      </x:c>
      <x:c r="J13" s="17" t="str">
        <x:v>Not Started</x:v>
      </x:c>
      <x:c r="K13" s="17" t="str"/>
      <x:c r="L13" s="17" t="str">
        <x:v>Preventive/Detective</x:v>
      </x:c>
      <x:c r="M13" s="17" t="str">
        <x:v>All</x:v>
      </x:c>
      <x:c r="N13" s="17" t="str">
        <x:v>Prod view access should not imply dev admin access.</x:v>
      </x:c>
      <x:c r="O13" s="17" t="str"/>
    </x:row>
    <x:row r="14">
      <x:c r="A14" s="17" t="str">
        <x:v>VXI-IAM-002</x:v>
      </x:c>
      <x:c r="B14" s="17" t="str">
        <x:v>IAM</x:v>
      </x:c>
      <x:c r="C14" s="17" t="str">
        <x:v>Least Privilege</x:v>
      </x:c>
      <x:c r="D14" s="17" t="str">
        <x:v>No standing broad admin for developers</x:v>
      </x:c>
      <x:c r="E14" s="17" t="str">
        <x:v>Developers must not have broad standing admin, owner, project creator, billing admin, IAM admin, API key admin, or network admin permissions in any shared cloud environment.</x:v>
      </x:c>
      <x:c r="F14" s="17" t="str">
        <x:v>IAM policy report, privileged group membership, access review signoff</x:v>
      </x:c>
      <x:c r="G14" s="17" t="str">
        <x:v>Cloud Infra</x:v>
      </x:c>
      <x:c r="H14" s="17" t="str">
        <x:v>Monthly</x:v>
      </x:c>
      <x:c r="I14" s="17" t="str">
        <x:v>Critical</x:v>
      </x:c>
      <x:c r="J14" s="17" t="str">
        <x:v>Not Started</x:v>
      </x:c>
      <x:c r="K14" s="17" t="str"/>
      <x:c r="L14" s="17" t="str">
        <x:v>Preventive/Detective</x:v>
      </x:c>
      <x:c r="M14" s="17" t="str">
        <x:v>All</x:v>
      </x:c>
      <x:c r="N14" s="17" t="str">
        <x:v>Directly addresses current dev over-permissioning.</x:v>
      </x:c>
      <x:c r="O14" s="17" t="str"/>
    </x:row>
    <x:row r="15">
      <x:c r="A15" s="17" t="str">
        <x:v>VXI-IAM-003</x:v>
      </x:c>
      <x:c r="B15" s="17" t="str">
        <x:v>IAM</x:v>
      </x:c>
      <x:c r="C15" s="17" t="str">
        <x:v>Least Privilege</x:v>
      </x:c>
      <x:c r="D15" s="17" t="str">
        <x:v>Default developer access</x:v>
      </x:c>
      <x:c r="E15" s="17" t="str">
        <x:v>Default developer access in cloud dev environments is read-only plus narrowly scoped deployment pipeline visibility and log access required for troubleshooting.</x:v>
      </x:c>
      <x:c r="F15" s="17" t="str">
        <x:v>Role definition, group mapping, sample user access</x:v>
      </x:c>
      <x:c r="G15" s="17" t="str">
        <x:v>Cloud Infra</x:v>
      </x:c>
      <x:c r="H15" s="17" t="str">
        <x:v>Quarterly</x:v>
      </x:c>
      <x:c r="I15" s="17" t="str">
        <x:v>Critical</x:v>
      </x:c>
      <x:c r="J15" s="17" t="str">
        <x:v>Not Started</x:v>
      </x:c>
      <x:c r="K15" s="17" t="str"/>
      <x:c r="L15" s="17" t="str">
        <x:v>Preventive/Detective</x:v>
      </x:c>
      <x:c r="M15" s="17" t="str">
        <x:v>All</x:v>
      </x:c>
      <x:c r="N15" s="17" t="str">
        <x:v>Resource creation happens through IaC pipeline or temporary exception.</x:v>
      </x:c>
      <x:c r="O15" s="17" t="str"/>
    </x:row>
    <x:row r="16">
      <x:c r="A16" s="17" t="str">
        <x:v>VXI-IAM-004</x:v>
      </x:c>
      <x:c r="B16" s="17" t="str">
        <x:v>IAM</x:v>
      </x:c>
      <x:c r="C16" s="17" t="str">
        <x:v>Temporary Privilege</x:v>
      </x:c>
      <x:c r="D16" s="17" t="str">
        <x:v>Just-in-time access</x:v>
      </x:c>
      <x:c r="E16" s="17" t="str">
        <x:v>Privileged access for experimentation must be requested by ticket, approved by product owner and Cloud/Security, scoped to project/services, time-bound, logged, and auto-revoked.</x:v>
      </x:c>
      <x:c r="F16" s="17" t="str">
        <x:v>JIT ticket, approval, scope, expiration, access logs, revocation proof</x:v>
      </x:c>
      <x:c r="G16" s="17" t="str">
        <x:v>IT Security</x:v>
      </x:c>
      <x:c r="H16" s="17" t="str">
        <x:v>Each request</x:v>
      </x:c>
      <x:c r="I16" s="17" t="str">
        <x:v>Critical</x:v>
      </x:c>
      <x:c r="J16" s="17" t="str">
        <x:v>Not Started</x:v>
      </x:c>
      <x:c r="K16" s="17" t="str"/>
      <x:c r="L16" s="17" t="str">
        <x:v>Preventive/Detective</x:v>
      </x:c>
      <x:c r="M16" s="17" t="str">
        <x:v>All</x:v>
      </x:c>
      <x:c r="N16" s="17" t="str">
        <x:v>Use PIM/JIT or equivalent where available.</x:v>
      </x:c>
      <x:c r="O16" s="17" t="str"/>
    </x:row>
    <x:row r="17">
      <x:c r="A17" s="17" t="str">
        <x:v>VXI-IAM-005</x:v>
      </x:c>
      <x:c r="B17" s="17" t="str">
        <x:v>IAM</x:v>
      </x:c>
      <x:c r="C17" s="17" t="str">
        <x:v>Temporary Privilege</x:v>
      </x:c>
      <x:c r="D17" s="17" t="str">
        <x:v>Maximum access duration</x:v>
      </x:c>
      <x:c r="E17" s="17" t="str">
        <x:v>Temporary privileged developer access must have a default maximum duration, with extensions requiring fresh approval and updated justification.</x:v>
      </x:c>
      <x:c r="F17" s="17" t="str">
        <x:v>Access policy, expired grants report, extension approvals</x:v>
      </x:c>
      <x:c r="G17" s="17" t="str">
        <x:v>IT Security</x:v>
      </x:c>
      <x:c r="H17" s="17" t="str">
        <x:v>Monthly</x:v>
      </x:c>
      <x:c r="I17" s="17" t="str">
        <x:v>High</x:v>
      </x:c>
      <x:c r="J17" s="17" t="str">
        <x:v>Not Started</x:v>
      </x:c>
      <x:c r="K17" s="17" t="str"/>
      <x:c r="L17" s="17" t="str">
        <x:v>Preventive/Detective</x:v>
      </x:c>
      <x:c r="M17" s="17" t="str">
        <x:v>All</x:v>
      </x:c>
      <x:c r="N17" s="17" t="str">
        <x:v>Suggested default: 4 to 8 hours for experiments, 24 hours by exception.</x:v>
      </x:c>
      <x:c r="O17" s="17" t="str"/>
    </x:row>
    <x:row r="18">
      <x:c r="A18" s="17" t="str">
        <x:v>VXI-IAM-006</x:v>
      </x:c>
      <x:c r="B18" s="17" t="str">
        <x:v>IAM</x:v>
      </x:c>
      <x:c r="C18" s="17" t="str">
        <x:v>Privileged Access</x:v>
      </x:c>
      <x:c r="D18" s="17" t="str">
        <x:v>Privileged action monitoring</x:v>
      </x:c>
      <x:c r="E18" s="17" t="str">
        <x:v>Privileged actions must be logged, centrally monitored, and alerted for sensitive actions such as IAM changes, API key creation, public exposure, KMS changes, network changes, and billing-impacting services.</x:v>
      </x:c>
      <x:c r="F18" s="17" t="str">
        <x:v>Cloud audit logs, SIEM detections, alert runbook, sample alerts</x:v>
      </x:c>
      <x:c r="G18" s="17" t="str">
        <x:v>SRE/Operations</x:v>
      </x:c>
      <x:c r="H18" s="17" t="str">
        <x:v>Continuous</x:v>
      </x:c>
      <x:c r="I18" s="17" t="str">
        <x:v>Critical</x:v>
      </x:c>
      <x:c r="J18" s="17" t="str">
        <x:v>Not Started</x:v>
      </x:c>
      <x:c r="K18" s="17" t="str"/>
      <x:c r="L18" s="17" t="str">
        <x:v>Preventive/Detective</x:v>
      </x:c>
      <x:c r="M18" s="17" t="str">
        <x:v>All</x:v>
      </x:c>
      <x:c r="N18" s="17" t="str">
        <x:v>Covers dev and prod.</x:v>
      </x:c>
      <x:c r="O18" s="17" t="str"/>
    </x:row>
    <x:row r="19">
      <x:c r="A19" s="17" t="str">
        <x:v>VXI-IAM-007</x:v>
      </x:c>
      <x:c r="B19" s="17" t="str">
        <x:v>IAM</x:v>
      </x:c>
      <x:c r="C19" s="17" t="str">
        <x:v>Privileged Access</x:v>
      </x:c>
      <x:c r="D19" s="17" t="str">
        <x:v>Break-glass governance</x:v>
      </x:c>
      <x:c r="E19" s="17" t="str">
        <x:v>Break-glass access must be restricted, MFA-protected, monitored, individually assigned, used only for emergencies, and reviewed after each use.</x:v>
      </x:c>
      <x:c r="F19" s="17" t="str">
        <x:v>Break-glass account list, usage logs, post-use review</x:v>
      </x:c>
      <x:c r="G19" s="17" t="str">
        <x:v>Cloud Infra</x:v>
      </x:c>
      <x:c r="H19" s="17" t="str">
        <x:v>Monthly</x:v>
      </x:c>
      <x:c r="I19" s="17" t="str">
        <x:v>Critical</x:v>
      </x:c>
      <x:c r="J19" s="17" t="str">
        <x:v>Not Started</x:v>
      </x:c>
      <x:c r="K19" s="17" t="str"/>
      <x:c r="L19" s="17" t="str">
        <x:v>Preventive/Detective</x:v>
      </x:c>
      <x:c r="M19" s="17" t="str">
        <x:v>All</x:v>
      </x:c>
      <x:c r="N19" s="17" t="str">
        <x:v>Director-level standing change access should move to this model.</x:v>
      </x:c>
      <x:c r="O19" s="17" t="str"/>
    </x:row>
    <x:row r="20">
      <x:c r="A20" s="17" t="str">
        <x:v>VXI-IAM-008</x:v>
      </x:c>
      <x:c r="B20" s="17" t="str">
        <x:v>IAM</x:v>
      </x:c>
      <x:c r="C20" s="17" t="str">
        <x:v>Access Review</x:v>
      </x:c>
      <x:c r="D20" s="17" t="str">
        <x:v>Recurring access certification</x:v>
      </x:c>
      <x:c r="E20" s="17" t="str">
        <x:v>Privileged and developer cloud access must be reviewed by owner and Security on a scheduled cadence; stale access must be removed.</x:v>
      </x:c>
      <x:c r="F20" s="17" t="str">
        <x:v>Access certification records, removed access list</x:v>
      </x:c>
      <x:c r="G20" s="17" t="str">
        <x:v>IT Security</x:v>
      </x:c>
      <x:c r="H20" s="17" t="str">
        <x:v>Quarterly</x:v>
      </x:c>
      <x:c r="I20" s="17" t="str">
        <x:v>High</x:v>
      </x:c>
      <x:c r="J20" s="17" t="str">
        <x:v>Not Started</x:v>
      </x:c>
      <x:c r="K20" s="17" t="str"/>
      <x:c r="L20" s="17" t="str">
        <x:v>Preventive/Detective</x:v>
      </x:c>
      <x:c r="M20" s="17" t="str">
        <x:v>All</x:v>
      </x:c>
      <x:c r="N20" s="17" t="str">
        <x:v>Monthly for privileged roles recommended.</x:v>
      </x:c>
      <x:c r="O20" s="17" t="str"/>
    </x:row>
    <x:row r="21">
      <x:c r="A21" s="17" t="str">
        <x:v>VXI-IAM-009</x:v>
      </x:c>
      <x:c r="B21" s="17" t="str">
        <x:v>IAM</x:v>
      </x:c>
      <x:c r="C21" s="17" t="str">
        <x:v>Service Accounts</x:v>
      </x:c>
      <x:c r="D21" s="17" t="str">
        <x:v>Workload identity and service accounts</x:v>
      </x:c>
      <x:c r="E21" s="17" t="str">
        <x:v>Service accounts must be named, owned, scoped to a workload, rotated or keyless where possible, and prohibited from interactive user use.</x:v>
      </x:c>
      <x:c r="F21" s="17" t="str">
        <x:v>Service account inventory, owner mapping, key age report</x:v>
      </x:c>
      <x:c r="G21" s="17" t="str">
        <x:v>Cloud Infra</x:v>
      </x:c>
      <x:c r="H21" s="17" t="str">
        <x:v>Monthly</x:v>
      </x:c>
      <x:c r="I21" s="17" t="str">
        <x:v>High</x:v>
      </x:c>
      <x:c r="J21" s="17" t="str">
        <x:v>Not Started</x:v>
      </x:c>
      <x:c r="K21" s="17" t="str"/>
      <x:c r="L21" s="17" t="str">
        <x:v>Preventive/Detective</x:v>
      </x:c>
      <x:c r="M21" s="17" t="str">
        <x:v>All</x:v>
      </x:c>
      <x:c r="N21" s="17" t="str">
        <x:v>Prefer workload identity/federation over static keys.</x:v>
      </x:c>
      <x:c r="O21" s="17" t="str"/>
    </x:row>
    <x:row r="22">
      <x:c r="A22" s="17" t="str">
        <x:v>VXI-IAM-010</x:v>
      </x:c>
      <x:c r="B22" s="17" t="str">
        <x:v>IAM</x:v>
      </x:c>
      <x:c r="C22" s="17" t="str">
        <x:v>Secrets</x:v>
      </x:c>
      <x:c r="D22" s="17" t="str">
        <x:v>Secrets access restriction</x:v>
      </x:c>
      <x:c r="E22" s="17" t="str">
        <x:v>Access to secrets managers, parameter stores, vaults, API keys, OAuth credentials, and KMS keys must be least privilege and logged.</x:v>
      </x:c>
      <x:c r="F22" s="17" t="str">
        <x:v>Secrets ACL report, KMS key policies, audit logs</x:v>
      </x:c>
      <x:c r="G22" s="17" t="str">
        <x:v>IT Security</x:v>
      </x:c>
      <x:c r="H22" s="17" t="str">
        <x:v>Monthly</x:v>
      </x:c>
      <x:c r="I22" s="17" t="str">
        <x:v>Critical</x:v>
      </x:c>
      <x:c r="J22" s="17" t="str">
        <x:v>Not Started</x:v>
      </x:c>
      <x:c r="K22" s="17" t="str"/>
      <x:c r="L22" s="17" t="str">
        <x:v>Preventive/Detective</x:v>
      </x:c>
      <x:c r="M22" s="17" t="str">
        <x:v>All</x:v>
      </x:c>
      <x:c r="N22" s="17" t="str">
        <x:v>Developers should not extract production secrets.</x:v>
      </x:c>
      <x:c r="O22" s="17" t="str"/>
    </x:row>
    <x:row r="23">
      <x:c r="A23" s="17" t="str">
        <x:v>VXI-CLD-001</x:v>
      </x:c>
      <x:c r="B23" s="17" t="str">
        <x:v>Cloud Provisioning</x:v>
      </x:c>
      <x:c r="C23" s="17" t="str">
        <x:v>IaC</x:v>
      </x:c>
      <x:c r="D23" s="17" t="str">
        <x:v>IaC-driven resource creation</x:v>
      </x:c>
      <x:c r="E23" s="17" t="str">
        <x:v>All persistent cloud resources must be provisioned and modified through approved infrastructure-as-code repositories and pipelines.</x:v>
      </x:c>
      <x:c r="F23" s="17" t="str">
        <x:v>IaC repo, pull request, pipeline run, plan/apply logs</x:v>
      </x:c>
      <x:c r="G23" s="17" t="str">
        <x:v>Cloud Infra</x:v>
      </x:c>
      <x:c r="H23" s="17" t="str">
        <x:v>Each change</x:v>
      </x:c>
      <x:c r="I23" s="17" t="str">
        <x:v>Critical</x:v>
      </x:c>
      <x:c r="J23" s="17" t="str">
        <x:v>Not Started</x:v>
      </x:c>
      <x:c r="K23" s="17" t="str"/>
      <x:c r="L23" s="17" t="str">
        <x:v>Preventive</x:v>
      </x:c>
      <x:c r="M23" s="17" t="str">
        <x:v>All</x:v>
      </x:c>
      <x:c r="N23" s="17" t="str">
        <x:v>Manual changes are exceptions only.</x:v>
      </x:c>
      <x:c r="O23" s="17" t="str"/>
    </x:row>
    <x:row r="24">
      <x:c r="A24" s="17" t="str">
        <x:v>VXI-CLD-002</x:v>
      </x:c>
      <x:c r="B24" s="17" t="str">
        <x:v>Cloud Provisioning</x:v>
      </x:c>
      <x:c r="C24" s="17" t="str">
        <x:v>IaC</x:v>
      </x:c>
      <x:c r="D24" s="17" t="str">
        <x:v>Change review for IaC</x:v>
      </x:c>
      <x:c r="E24" s="17" t="str">
        <x:v>IaC changes must use peer review, Cloud Infra review for platform impact, Security review for sensitive changes, and automated policy checks before apply.</x:v>
      </x:c>
      <x:c r="F24" s="17" t="str">
        <x:v>Pull request approvals, policy-as-code results, pipeline evidence</x:v>
      </x:c>
      <x:c r="G24" s="17" t="str">
        <x:v>DevOps</x:v>
      </x:c>
      <x:c r="H24" s="17" t="str">
        <x:v>Each change</x:v>
      </x:c>
      <x:c r="I24" s="17" t="str">
        <x:v>Critical</x:v>
      </x:c>
      <x:c r="J24" s="17" t="str">
        <x:v>Not Started</x:v>
      </x:c>
      <x:c r="K24" s="17" t="str"/>
      <x:c r="L24" s="17" t="str">
        <x:v>Preventive</x:v>
      </x:c>
      <x:c r="M24" s="17" t="str">
        <x:v>All</x:v>
      </x:c>
      <x:c r="N24" s="17" t="str">
        <x:v>Sensitive changes include IAM, network, public exposure, encryption, logging, and data stores.</x:v>
      </x:c>
      <x:c r="O24" s="17" t="str"/>
    </x:row>
    <x:row r="25">
      <x:c r="A25" s="17" t="str">
        <x:v>VXI-CLD-003</x:v>
      </x:c>
      <x:c r="B25" s="17" t="str">
        <x:v>Cloud Provisioning</x:v>
      </x:c>
      <x:c r="C25" s="17" t="str">
        <x:v>Environment Requests</x:v>
      </x:c>
      <x:c r="D25" s="17" t="str">
        <x:v>Dev environment request package</x:v>
      </x:c>
      <x:c r="E25" s="17" t="str">
        <x:v>Requests for dev cloud environments must capture repo, env name, owner, business purpose, services, network needs, expected duration, data classification, cost center, and target production path.</x:v>
      </x:c>
      <x:c r="F25" s="17" t="str">
        <x:v>Request form/ticket, approvals, generated environment record</x:v>
      </x:c>
      <x:c r="G25" s="17" t="str">
        <x:v>Cloud Infra</x:v>
      </x:c>
      <x:c r="H25" s="17" t="str">
        <x:v>Each request</x:v>
      </x:c>
      <x:c r="I25" s="17" t="str">
        <x:v>Critical</x:v>
      </x:c>
      <x:c r="J25" s="17" t="str">
        <x:v>Not Started</x:v>
      </x:c>
      <x:c r="K25" s="17" t="str"/>
      <x:c r="L25" s="17" t="str">
        <x:v>Preventive</x:v>
      </x:c>
      <x:c r="M25" s="17" t="str">
        <x:v>All</x:v>
      </x:c>
      <x:c r="N25" s="17" t="str">
        <x:v>Matches the target operating model in the discussion.</x:v>
      </x:c>
      <x:c r="O25" s="17" t="str"/>
    </x:row>
    <x:row r="26">
      <x:c r="A26" s="17" t="str">
        <x:v>VXI-CLD-004</x:v>
      </x:c>
      <x:c r="B26" s="17" t="str">
        <x:v>Cloud Provisioning</x:v>
      </x:c>
      <x:c r="C26" s="17" t="str">
        <x:v>Environment Requests</x:v>
      </x:c>
      <x:c r="D26" s="17" t="str">
        <x:v>Ephemeral environment expiration</x:v>
      </x:c>
      <x:c r="E26" s="17" t="str">
        <x:v>Dev and test resources must have expiration dates and automated cleanup or renewal workflow.</x:v>
      </x:c>
      <x:c r="F26" s="17" t="str">
        <x:v>Tags, TTL policy, cleanup job logs, renewal approvals</x:v>
      </x:c>
      <x:c r="G26" s="17" t="str">
        <x:v>Cloud Infra</x:v>
      </x:c>
      <x:c r="H26" s="17" t="str">
        <x:v>Daily/Weekly</x:v>
      </x:c>
      <x:c r="I26" s="17" t="str">
        <x:v>High</x:v>
      </x:c>
      <x:c r="J26" s="17" t="str">
        <x:v>Not Started</x:v>
      </x:c>
      <x:c r="K26" s="17" t="str"/>
      <x:c r="L26" s="17" t="str">
        <x:v>Preventive</x:v>
      </x:c>
      <x:c r="M26" s="17" t="str">
        <x:v>All</x:v>
      </x:c>
      <x:c r="N26" s="17" t="str">
        <x:v>Prevents resources being left powered on indefinitely.</x:v>
      </x:c>
      <x:c r="O26" s="17" t="str"/>
    </x:row>
    <x:row r="27">
      <x:c r="A27" s="17" t="str">
        <x:v>VXI-CLD-005</x:v>
      </x:c>
      <x:c r="B27" s="17" t="str">
        <x:v>Cloud Provisioning</x:v>
      </x:c>
      <x:c r="C27" s="17" t="str">
        <x:v>Guardrails</x:v>
      </x:c>
      <x:c r="D27" s="17" t="str">
        <x:v>Approved service catalog</x:v>
      </x:c>
      <x:c r="E27" s="17" t="str">
        <x:v>Cloud Infra must maintain approved cloud service patterns for common workloads; unapproved services require architecture and security exception review.</x:v>
      </x:c>
      <x:c r="F27" s="17" t="str">
        <x:v>Service catalog, exception records, policy-as-code rules</x:v>
      </x:c>
      <x:c r="G27" s="17" t="str">
        <x:v>Cloud Infra</x:v>
      </x:c>
      <x:c r="H27" s="17" t="str">
        <x:v>Quarterly</x:v>
      </x:c>
      <x:c r="I27" s="17" t="str">
        <x:v>High</x:v>
      </x:c>
      <x:c r="J27" s="17" t="str">
        <x:v>Not Started</x:v>
      </x:c>
      <x:c r="K27" s="17" t="str"/>
      <x:c r="L27" s="17" t="str">
        <x:v>Preventive</x:v>
      </x:c>
      <x:c r="M27" s="17" t="str">
        <x:v>All</x:v>
      </x:c>
      <x:c r="N27" s="17" t="str">
        <x:v>Helps teams move quickly without ad hoc resource creation.</x:v>
      </x:c>
      <x:c r="O27" s="17" t="str"/>
    </x:row>
    <x:row r="28">
      <x:c r="A28" s="17" t="str">
        <x:v>VXI-CLD-006</x:v>
      </x:c>
      <x:c r="B28" s="17" t="str">
        <x:v>Cloud Provisioning</x:v>
      </x:c>
      <x:c r="C28" s="17" t="str">
        <x:v>Guardrails</x:v>
      </x:c>
      <x:c r="D28" s="17" t="str">
        <x:v>Restricted API key creation</x:v>
      </x:c>
      <x:c r="E28" s="17" t="str">
        <x:v>Creation of cloud API keys, Gemini/API platform keys, long-lived access keys, and unmanaged tokens must be restricted, logged, and approved.</x:v>
      </x:c>
      <x:c r="F28" s="17" t="str">
        <x:v>IAM policies, key inventory, alert logs, exception tickets</x:v>
      </x:c>
      <x:c r="G28" s="17" t="str">
        <x:v>IT Security</x:v>
      </x:c>
      <x:c r="H28" s="17" t="str">
        <x:v>Continuous</x:v>
      </x:c>
      <x:c r="I28" s="17" t="str">
        <x:v>Critical</x:v>
      </x:c>
      <x:c r="J28" s="17" t="str">
        <x:v>Not Started</x:v>
      </x:c>
      <x:c r="K28" s="17" t="str"/>
      <x:c r="L28" s="17" t="str">
        <x:v>Preventive</x:v>
      </x:c>
      <x:c r="M28" s="17" t="str">
        <x:v>All</x:v>
      </x:c>
      <x:c r="N28" s="17" t="str">
        <x:v>Direct response to expensive and unmanaged key creation risk.</x:v>
      </x:c>
      <x:c r="O28" s="17" t="str"/>
    </x:row>
    <x:row r="29">
      <x:c r="A29" s="17" t="str">
        <x:v>VXI-CLD-007</x:v>
      </x:c>
      <x:c r="B29" s="17" t="str">
        <x:v>Cloud Provisioning</x:v>
      </x:c>
      <x:c r="C29" s="17" t="str">
        <x:v>Guardrails</x:v>
      </x:c>
      <x:c r="D29" s="17" t="str">
        <x:v>Public exposure control</x:v>
      </x:c>
      <x:c r="E29" s="17" t="str">
        <x:v>Public IPs, internet load balancers, open security groups/firewalls, public buckets, and unauthenticated endpoints must be blocked by default or require approval.</x:v>
      </x:c>
      <x:c r="F29" s="17" t="str">
        <x:v>Policy-as-code results, network rules, public exposure scans</x:v>
      </x:c>
      <x:c r="G29" s="17" t="str">
        <x:v>Cloud Infra</x:v>
      </x:c>
      <x:c r="H29" s="17" t="str">
        <x:v>Continuous</x:v>
      </x:c>
      <x:c r="I29" s="17" t="str">
        <x:v>Critical</x:v>
      </x:c>
      <x:c r="J29" s="17" t="str">
        <x:v>Not Started</x:v>
      </x:c>
      <x:c r="K29" s="17" t="str"/>
      <x:c r="L29" s="17" t="str">
        <x:v>Preventive</x:v>
      </x:c>
      <x:c r="M29" s="17" t="str">
        <x:v>All</x:v>
      </x:c>
      <x:c r="N29" s="17" t="str">
        <x:v>Applies to dev as well as prod.</x:v>
      </x:c>
      <x:c r="O29" s="17" t="str"/>
    </x:row>
    <x:row r="30">
      <x:c r="A30" s="17" t="str">
        <x:v>VXI-CLD-008</x:v>
      </x:c>
      <x:c r="B30" s="17" t="str">
        <x:v>Cloud Provisioning</x:v>
      </x:c>
      <x:c r="C30" s="17" t="str">
        <x:v>Tagging</x:v>
      </x:c>
      <x:c r="D30" s="17" t="str">
        <x:v>Mandatory cloud tags</x:v>
      </x:c>
      <x:c r="E30" s="17" t="str">
        <x:v>All cloud resources must have required tags: application, environment, owner, cost center, data classification, repo, expiration, managed-by, and support group.</x:v>
      </x:c>
      <x:c r="F30" s="17" t="str">
        <x:v>Tag compliance report, policy enforcement logs</x:v>
      </x:c>
      <x:c r="G30" s="17" t="str">
        <x:v>Cloud Infra</x:v>
      </x:c>
      <x:c r="H30" s="17" t="str">
        <x:v>Daily/Weekly</x:v>
      </x:c>
      <x:c r="I30" s="17" t="str">
        <x:v>High</x:v>
      </x:c>
      <x:c r="J30" s="17" t="str">
        <x:v>Not Started</x:v>
      </x:c>
      <x:c r="K30" s="17" t="str"/>
      <x:c r="L30" s="17" t="str">
        <x:v>Preventive</x:v>
      </x:c>
      <x:c r="M30" s="17" t="str">
        <x:v>All</x:v>
      </x:c>
      <x:c r="N30" s="17" t="str">
        <x:v>Enables billing splits and ownership.</x:v>
      </x:c>
      <x:c r="O30" s="17" t="str"/>
    </x:row>
    <x:row r="31">
      <x:c r="A31" s="17" t="str">
        <x:v>VXI-CLD-009</x:v>
      </x:c>
      <x:c r="B31" s="17" t="str">
        <x:v>Cloud Provisioning</x:v>
      </x:c>
      <x:c r="C31" s="17" t="str">
        <x:v>Cost Management</x:v>
      </x:c>
      <x:c r="D31" s="17" t="str">
        <x:v>Budget limits and anomaly alerts</x:v>
      </x:c>
      <x:c r="E31" s="17" t="str">
        <x:v>Dev and test projects must have budgets, spend alerts, anomaly detection, and escalation paths before resources are provisioned.</x:v>
      </x:c>
      <x:c r="F31" s="17" t="str">
        <x:v>Budget configuration, alert recipients, monthly cloud cost report</x:v>
      </x:c>
      <x:c r="G31" s="17" t="str">
        <x:v>Cloud Infra</x:v>
      </x:c>
      <x:c r="H31" s="17" t="str">
        <x:v>Monthly</x:v>
      </x:c>
      <x:c r="I31" s="17" t="str">
        <x:v>Critical</x:v>
      </x:c>
      <x:c r="J31" s="17" t="str">
        <x:v>Not Started</x:v>
      </x:c>
      <x:c r="K31" s="17" t="str"/>
      <x:c r="L31" s="17" t="str">
        <x:v>Preventive</x:v>
      </x:c>
      <x:c r="M31" s="17" t="str">
        <x:v>All</x:v>
      </x:c>
      <x:c r="N31" s="17" t="str">
        <x:v>Prevents expensive unmanaged experiments.</x:v>
      </x:c>
      <x:c r="O31" s="17" t="str"/>
    </x:row>
    <x:row r="32">
      <x:c r="A32" s="17" t="str">
        <x:v>VXI-CLD-010</x:v>
      </x:c>
      <x:c r="B32" s="17" t="str">
        <x:v>Cloud Provisioning</x:v>
      </x:c>
      <x:c r="C32" s="17" t="str">
        <x:v>Configuration Drift</x:v>
      </x:c>
      <x:c r="D32" s="17" t="str">
        <x:v>Drift detection</x:v>
      </x:c>
      <x:c r="E32" s="17" t="str">
        <x:v>Cloud environments must be scanned for drift from IaC; unauthorized drift must be remediated or converted to approved code.</x:v>
      </x:c>
      <x:c r="F32" s="17" t="str">
        <x:v>Drift report, remediation ticket, IaC update</x:v>
      </x:c>
      <x:c r="G32" s="17" t="str">
        <x:v>Cloud Infra</x:v>
      </x:c>
      <x:c r="H32" s="17" t="str">
        <x:v>Weekly</x:v>
      </x:c>
      <x:c r="I32" s="17" t="str">
        <x:v>High</x:v>
      </x:c>
      <x:c r="J32" s="17" t="str">
        <x:v>Not Started</x:v>
      </x:c>
      <x:c r="K32" s="17" t="str"/>
      <x:c r="L32" s="17" t="str">
        <x:v>Preventive</x:v>
      </x:c>
      <x:c r="M32" s="17" t="str">
        <x:v>All</x:v>
      </x:c>
      <x:c r="N32" s="17" t="str">
        <x:v>Detects manual console changes.</x:v>
      </x:c>
      <x:c r="O32" s="17" t="str"/>
    </x:row>
    <x:row r="33">
      <x:c r="A33" s="17" t="str">
        <x:v>VXI-ARC-001</x:v>
      </x:c>
      <x:c r="B33" s="17" t="str">
        <x:v>Architecture</x:v>
      </x:c>
      <x:c r="C33" s="17" t="str">
        <x:v>Architecture Review</x:v>
      </x:c>
      <x:c r="D33" s="17" t="str">
        <x:v>Pre-production architecture review</x:v>
      </x:c>
      <x:c r="E33" s="17" t="str">
        <x:v>Applications/services must complete architecture review before production approval, including system diagrams, data flows, dependencies, identity model, network paths, resiliency, and operational model.</x:v>
      </x:c>
      <x:c r="F33" s="17" t="str">
        <x:v>Architecture review record, diagrams, decision log</x:v>
      </x:c>
      <x:c r="G33" s="17" t="str">
        <x:v>Architecture</x:v>
      </x:c>
      <x:c r="H33" s="17" t="str">
        <x:v>Each release</x:v>
      </x:c>
      <x:c r="I33" s="17" t="str">
        <x:v>Critical</x:v>
      </x:c>
      <x:c r="J33" s="17" t="str">
        <x:v>Not Started</x:v>
      </x:c>
      <x:c r="K33" s="17" t="str"/>
      <x:c r="L33" s="17" t="str">
        <x:v>Preventive</x:v>
      </x:c>
      <x:c r="M33" s="17" t="str">
        <x:v>All</x:v>
      </x:c>
      <x:c r="N33" s="17" t="str">
        <x:v>Review must happen early enough to influence design.</x:v>
      </x:c>
      <x:c r="O33" s="17" t="str"/>
    </x:row>
    <x:row r="34">
      <x:c r="A34" s="17" t="str">
        <x:v>VXI-ARC-002</x:v>
      </x:c>
      <x:c r="B34" s="17" t="str">
        <x:v>Architecture</x:v>
      </x:c>
      <x:c r="C34" s="17" t="str">
        <x:v>Security Architecture</x:v>
      </x:c>
      <x:c r="D34" s="17" t="str">
        <x:v>Security architecture review</x:v>
      </x:c>
      <x:c r="E34" s="17" t="str">
        <x:v>Security must review authentication, authorization, secrets, encryption, logging, data classification, third-party integrations, public exposure, and abuse cases before production.</x:v>
      </x:c>
      <x:c r="F34" s="17" t="str">
        <x:v>Security review signoff, threat model, action items</x:v>
      </x:c>
      <x:c r="G34" s="17" t="str">
        <x:v>IT Security</x:v>
      </x:c>
      <x:c r="H34" s="17" t="str">
        <x:v>Each release</x:v>
      </x:c>
      <x:c r="I34" s="17" t="str">
        <x:v>Critical</x:v>
      </x:c>
      <x:c r="J34" s="17" t="str">
        <x:v>Not Started</x:v>
      </x:c>
      <x:c r="K34" s="17" t="str"/>
      <x:c r="L34" s="17" t="str">
        <x:v>Preventive</x:v>
      </x:c>
      <x:c r="M34" s="17" t="str">
        <x:v>All</x:v>
      </x:c>
      <x:c r="N34" s="17" t="str">
        <x:v>Required for net-new services and material changes.</x:v>
      </x:c>
      <x:c r="O34" s="17" t="str"/>
    </x:row>
    <x:row r="35">
      <x:c r="A35" s="17" t="str">
        <x:v>VXI-ARC-003</x:v>
      </x:c>
      <x:c r="B35" s="17" t="str">
        <x:v>Architecture</x:v>
      </x:c>
      <x:c r="C35" s="17" t="str">
        <x:v>Threat Modeling</x:v>
      </x:c>
      <x:c r="D35" s="17" t="str">
        <x:v>Threat model for material systems</x:v>
      </x:c>
      <x:c r="E35" s="17" t="str">
        <x:v>Internet-facing, sensitive-data, privileged, or critical applications must have a threat model with mitigations tracked to closure.</x:v>
      </x:c>
      <x:c r="F35" s="17" t="str">
        <x:v>Threat model, mitigation tickets, closure evidence</x:v>
      </x:c>
      <x:c r="G35" s="17" t="str">
        <x:v>IT Security</x:v>
      </x:c>
      <x:c r="H35" s="17" t="str">
        <x:v>Each major release</x:v>
      </x:c>
      <x:c r="I35" s="17" t="str">
        <x:v>High</x:v>
      </x:c>
      <x:c r="J35" s="17" t="str">
        <x:v>Not Started</x:v>
      </x:c>
      <x:c r="K35" s="17" t="str"/>
      <x:c r="L35" s="17" t="str">
        <x:v>Preventive</x:v>
      </x:c>
      <x:c r="M35" s="17" t="str">
        <x:v>All</x:v>
      </x:c>
      <x:c r="N35" s="17" t="str">
        <x:v>Can be lightweight but must be explicit.</x:v>
      </x:c>
      <x:c r="O35" s="17" t="str"/>
    </x:row>
    <x:row r="36">
      <x:c r="A36" s="17" t="str">
        <x:v>VXI-ARC-004</x:v>
      </x:c>
      <x:c r="B36" s="17" t="str">
        <x:v>Architecture</x:v>
      </x:c>
      <x:c r="C36" s="17" t="str">
        <x:v>Data Classification</x:v>
      </x:c>
      <x:c r="D36" s="17" t="str">
        <x:v>Data classification and handling</x:v>
      </x:c>
      <x:c r="E36" s="17" t="str">
        <x:v>Data classification must be documented for each environment; dev/test must not use production sensitive data unless approved and protected.</x:v>
      </x:c>
      <x:c r="F36" s="17" t="str">
        <x:v>Data classification record, masking/tokenization evidence, approvals</x:v>
      </x:c>
      <x:c r="G36" s="17" t="str">
        <x:v>IT Security</x:v>
      </x:c>
      <x:c r="H36" s="17" t="str">
        <x:v>Each environment</x:v>
      </x:c>
      <x:c r="I36" s="17" t="str">
        <x:v>Critical</x:v>
      </x:c>
      <x:c r="J36" s="17" t="str">
        <x:v>Not Started</x:v>
      </x:c>
      <x:c r="K36" s="17" t="str"/>
      <x:c r="L36" s="17" t="str">
        <x:v>Preventive</x:v>
      </x:c>
      <x:c r="M36" s="17" t="str">
        <x:v>All</x:v>
      </x:c>
      <x:c r="N36" s="17" t="str">
        <x:v>Prevents dev becoming an uncontrolled data environment.</x:v>
      </x:c>
      <x:c r="O36" s="17" t="str"/>
    </x:row>
    <x:row r="37">
      <x:c r="A37" s="17" t="str">
        <x:v>VXI-ARC-005</x:v>
      </x:c>
      <x:c r="B37" s="17" t="str">
        <x:v>Architecture</x:v>
      </x:c>
      <x:c r="C37" s="17" t="str">
        <x:v>Network Design</x:v>
      </x:c>
      <x:c r="D37" s="17" t="str">
        <x:v>Network and connectivity approval</x:v>
      </x:c>
      <x:c r="E37" s="17" t="str">
        <x:v>Special network requirements, internal service connectivity, VPN, peering, private endpoints, firewall changes, and egress paths must be approved before provisioning.</x:v>
      </x:c>
      <x:c r="F37" s="17" t="str">
        <x:v>Network design, approval record, firewall change</x:v>
      </x:c>
      <x:c r="G37" s="17" t="str">
        <x:v>Cloud Infra</x:v>
      </x:c>
      <x:c r="H37" s="17" t="str">
        <x:v>Each change</x:v>
      </x:c>
      <x:c r="I37" s="17" t="str">
        <x:v>High</x:v>
      </x:c>
      <x:c r="J37" s="17" t="str">
        <x:v>Not Started</x:v>
      </x:c>
      <x:c r="K37" s="17" t="str"/>
      <x:c r="L37" s="17" t="str">
        <x:v>Preventive</x:v>
      </x:c>
      <x:c r="M37" s="17" t="str">
        <x:v>All</x:v>
      </x:c>
      <x:c r="N37" s="17" t="str">
        <x:v>Captures network requirements in the dev request.</x:v>
      </x:c>
      <x:c r="O37" s="17" t="str"/>
    </x:row>
    <x:row r="38">
      <x:c r="A38" s="17" t="str">
        <x:v>VXI-ARC-006</x:v>
      </x:c>
      <x:c r="B38" s="17" t="str">
        <x:v>Architecture</x:v>
      </x:c>
      <x:c r="C38" s="17" t="str">
        <x:v>Resilience</x:v>
      </x:c>
      <x:c r="D38" s="17" t="str">
        <x:v>Availability and resiliency design</x:v>
      </x:c>
      <x:c r="E38" s="17" t="str">
        <x:v>Production-bound systems must document availability targets, failure modes, backup/restore, DR requirements, and capacity expectations.</x:v>
      </x:c>
      <x:c r="F38" s="17" t="str">
        <x:v>Resiliency design, DR tier, backup settings, test evidence</x:v>
      </x:c>
      <x:c r="G38" s="17" t="str">
        <x:v>Architecture</x:v>
      </x:c>
      <x:c r="H38" s="17" t="str">
        <x:v>Each release</x:v>
      </x:c>
      <x:c r="I38" s="17" t="str">
        <x:v>High</x:v>
      </x:c>
      <x:c r="J38" s="17" t="str">
        <x:v>Not Started</x:v>
      </x:c>
      <x:c r="K38" s="17" t="str"/>
      <x:c r="L38" s="17" t="str">
        <x:v>Preventive</x:v>
      </x:c>
      <x:c r="M38" s="17" t="str">
        <x:v>All</x:v>
      </x:c>
      <x:c r="N38" s="17" t="str">
        <x:v>Right-size controls to business criticality.</x:v>
      </x:c>
      <x:c r="O38" s="17" t="str"/>
    </x:row>
    <x:row r="39">
      <x:c r="A39" s="17" t="str">
        <x:v>VXI-ARC-007</x:v>
      </x:c>
      <x:c r="B39" s="17" t="str">
        <x:v>Architecture</x:v>
      </x:c>
      <x:c r="C39" s="17" t="str">
        <x:v>Dependency Mapping</x:v>
      </x:c>
      <x:c r="D39" s="17" t="str">
        <x:v>Application dependency map</x:v>
      </x:c>
      <x:c r="E39" s="17" t="str">
        <x:v>Applications must document upstream/downstream dependencies, APIs, queues, databases, vendors, scheduled jobs, and operational contacts.</x:v>
      </x:c>
      <x:c r="F39" s="17" t="str">
        <x:v>Dependency map, CMDB relationship records</x:v>
      </x:c>
      <x:c r="G39" s="17" t="str">
        <x:v>Product Team</x:v>
      </x:c>
      <x:c r="H39" s="17" t="str">
        <x:v>Each release</x:v>
      </x:c>
      <x:c r="I39" s="17" t="str">
        <x:v>Medium</x:v>
      </x:c>
      <x:c r="J39" s="17" t="str">
        <x:v>Not Started</x:v>
      </x:c>
      <x:c r="K39" s="17" t="str"/>
      <x:c r="L39" s="17" t="str">
        <x:v>Preventive</x:v>
      </x:c>
      <x:c r="M39" s="17" t="str">
        <x:v>All</x:v>
      </x:c>
      <x:c r="N39" s="17" t="str">
        <x:v>Supports incident response and change impact analysis.</x:v>
      </x:c>
      <x:c r="O39" s="17" t="str"/>
    </x:row>
    <x:row r="40">
      <x:c r="A40" s="17" t="str">
        <x:v>VXI-ARC-008</x:v>
      </x:c>
      <x:c r="B40" s="17" t="str">
        <x:v>Architecture</x:v>
      </x:c>
      <x:c r="C40" s="17" t="str">
        <x:v>Design Decisions</x:v>
      </x:c>
      <x:c r="D40" s="17" t="str">
        <x:v>Architecture decision records</x:v>
      </x:c>
      <x:c r="E40" s="17" t="str">
        <x:v>Material technology and cloud service choices must have lightweight decision records explaining rationale, risks, alternatives, and approvals.</x:v>
      </x:c>
      <x:c r="F40" s="17" t="str">
        <x:v>ADR files, review comments, approval history</x:v>
      </x:c>
      <x:c r="G40" s="17" t="str">
        <x:v>Architecture</x:v>
      </x:c>
      <x:c r="H40" s="17" t="str">
        <x:v>Each decision</x:v>
      </x:c>
      <x:c r="I40" s="17" t="str">
        <x:v>Medium</x:v>
      </x:c>
      <x:c r="J40" s="17" t="str">
        <x:v>Not Started</x:v>
      </x:c>
      <x:c r="K40" s="17" t="str"/>
      <x:c r="L40" s="17" t="str">
        <x:v>Preventive</x:v>
      </x:c>
      <x:c r="M40" s="17" t="str">
        <x:v>All</x:v>
      </x:c>
      <x:c r="N40" s="17" t="str">
        <x:v>Prevents unknown products appearing only at go-live.</x:v>
      </x:c>
      <x:c r="O40" s="17" t="str"/>
    </x:row>
    <x:row r="41">
      <x:c r="A41" s="17" t="str">
        <x:v>VXI-SEC-001</x:v>
      </x:c>
      <x:c r="B41" s="17" t="str">
        <x:v>Security Reviews</x:v>
      </x:c>
      <x:c r="C41" s="17" t="str">
        <x:v>Secure SDLC</x:v>
      </x:c>
      <x:c r="D41" s="17" t="str">
        <x:v>Security requirements in backlog</x:v>
      </x:c>
      <x:c r="E41" s="17" t="str">
        <x:v>Security requirements and acceptance criteria must be included in project backlog before implementation begins.</x:v>
      </x:c>
      <x:c r="F41" s="17" t="str">
        <x:v>User stories, acceptance criteria, security tasks</x:v>
      </x:c>
      <x:c r="G41" s="17" t="str">
        <x:v>Product Team</x:v>
      </x:c>
      <x:c r="H41" s="17" t="str">
        <x:v>Each sprint/release</x:v>
      </x:c>
      <x:c r="I41" s="17" t="str">
        <x:v>High</x:v>
      </x:c>
      <x:c r="J41" s="17" t="str">
        <x:v>Not Started</x:v>
      </x:c>
      <x:c r="K41" s="17" t="str"/>
      <x:c r="L41" s="17" t="str">
        <x:v>Preventive</x:v>
      </x:c>
      <x:c r="M41" s="17" t="str">
        <x:v>All</x:v>
      </x:c>
      <x:c r="N41" s="17" t="str">
        <x:v>Makes security planned work, not late-stage friction.</x:v>
      </x:c>
      <x:c r="O41" s="17" t="str"/>
    </x:row>
    <x:row r="42">
      <x:c r="A42" s="17" t="str">
        <x:v>VXI-SEC-002</x:v>
      </x:c>
      <x:c r="B42" s="17" t="str">
        <x:v>Security Reviews</x:v>
      </x:c>
      <x:c r="C42" s="17" t="str">
        <x:v>SAST</x:v>
      </x:c>
      <x:c r="D42" s="17" t="str">
        <x:v>Static application security testing</x:v>
      </x:c>
      <x:c r="E42" s="17" t="str">
        <x:v>SAST must run in CI/CD for supported languages; critical/high findings must be remediated or formally risk accepted before production.</x:v>
      </x:c>
      <x:c r="F42" s="17" t="str">
        <x:v>Pipeline results, vulnerability tickets, risk acceptance</x:v>
      </x:c>
      <x:c r="G42" s="17" t="str">
        <x:v>DevOps</x:v>
      </x:c>
      <x:c r="H42" s="17" t="str">
        <x:v>Each build/release</x:v>
      </x:c>
      <x:c r="I42" s="17" t="str">
        <x:v>Critical</x:v>
      </x:c>
      <x:c r="J42" s="17" t="str">
        <x:v>Not Started</x:v>
      </x:c>
      <x:c r="K42" s="17" t="str"/>
      <x:c r="L42" s="17" t="str">
        <x:v>Preventive</x:v>
      </x:c>
      <x:c r="M42" s="17" t="str">
        <x:v>All</x:v>
      </x:c>
      <x:c r="N42" s="17" t="str">
        <x:v>Manual scans can supplement but should not be the primary model.</x:v>
      </x:c>
      <x:c r="O42" s="17" t="str"/>
    </x:row>
    <x:row r="43">
      <x:c r="A43" s="17" t="str">
        <x:v>VXI-SEC-003</x:v>
      </x:c>
      <x:c r="B43" s="17" t="str">
        <x:v>Security Reviews</x:v>
      </x:c>
      <x:c r="C43" s="17" t="str">
        <x:v>SCA and License</x:v>
      </x:c>
      <x:c r="D43" s="17" t="str">
        <x:v>Software composition and license scanning</x:v>
      </x:c>
      <x:c r="E43" s="17" t="str">
        <x:v>Open source and third-party dependencies must be scanned for vulnerabilities and license compliance; prohibited licenses and critical/high vulnerabilities must block release unless approved.</x:v>
      </x:c>
      <x:c r="F43" s="17" t="str">
        <x:v>SCA report, license report, exceptions, remediation tickets</x:v>
      </x:c>
      <x:c r="G43" s="17" t="str">
        <x:v>IT Security</x:v>
      </x:c>
      <x:c r="H43" s="17" t="str">
        <x:v>Each build/release</x:v>
      </x:c>
      <x:c r="I43" s="17" t="str">
        <x:v>Critical</x:v>
      </x:c>
      <x:c r="J43" s="17" t="str">
        <x:v>Not Started</x:v>
      </x:c>
      <x:c r="K43" s="17" t="str"/>
      <x:c r="L43" s="17" t="str">
        <x:v>Preventive</x:v>
      </x:c>
      <x:c r="M43" s="17" t="str">
        <x:v>All</x:v>
      </x:c>
      <x:c r="N43" s="17" t="str">
        <x:v>Covers the requested software license scan control.</x:v>
      </x:c>
      <x:c r="O43" s="17" t="str"/>
    </x:row>
    <x:row r="44">
      <x:c r="A44" s="17" t="str">
        <x:v>VXI-SEC-004</x:v>
      </x:c>
      <x:c r="B44" s="17" t="str">
        <x:v>Security Reviews</x:v>
      </x:c>
      <x:c r="C44" s="17" t="str">
        <x:v>Container/Image Security</x:v>
      </x:c>
      <x:c r="D44" s="17" t="str">
        <x:v>Container and base image scanning</x:v>
      </x:c>
      <x:c r="E44" s="17" t="str">
        <x:v>Container images and VM images must be scanned and sourced from approved registries; critical/high vulnerabilities must be remediated or accepted before deployment.</x:v>
      </x:c>
      <x:c r="F44" s="17" t="str">
        <x:v>Image scan report, registry evidence, waiver records</x:v>
      </x:c>
      <x:c r="G44" s="17" t="str">
        <x:v>DevOps</x:v>
      </x:c>
      <x:c r="H44" s="17" t="str">
        <x:v>Each build/release</x:v>
      </x:c>
      <x:c r="I44" s="17" t="str">
        <x:v>High</x:v>
      </x:c>
      <x:c r="J44" s="17" t="str">
        <x:v>Not Started</x:v>
      </x:c>
      <x:c r="K44" s="17" t="str"/>
      <x:c r="L44" s="17" t="str">
        <x:v>Preventive</x:v>
      </x:c>
      <x:c r="M44" s="17" t="str">
        <x:v>All</x:v>
      </x:c>
      <x:c r="N44" s="17" t="str">
        <x:v>Applies to dev and prod deployments.</x:v>
      </x:c>
      <x:c r="O44" s="17" t="str"/>
    </x:row>
    <x:row r="45">
      <x:c r="A45" s="17" t="str">
        <x:v>VXI-SEC-005</x:v>
      </x:c>
      <x:c r="B45" s="17" t="str">
        <x:v>Security Reviews</x:v>
      </x:c>
      <x:c r="C45" s="17" t="str">
        <x:v>DAST/API Testing</x:v>
      </x:c>
      <x:c r="D45" s="17" t="str">
        <x:v>Dynamic and API security testing</x:v>
      </x:c>
      <x:c r="E45" s="17" t="str">
        <x:v>Internet-facing or API-driven applications must complete DAST/API security testing before production and after material changes.</x:v>
      </x:c>
      <x:c r="F45" s="17" t="str">
        <x:v>DAST/API scan report, remediation tickets, signoff</x:v>
      </x:c>
      <x:c r="G45" s="17" t="str">
        <x:v>IT Security</x:v>
      </x:c>
      <x:c r="H45" s="17" t="str">
        <x:v>Each major release</x:v>
      </x:c>
      <x:c r="I45" s="17" t="str">
        <x:v>High</x:v>
      </x:c>
      <x:c r="J45" s="17" t="str">
        <x:v>Not Started</x:v>
      </x:c>
      <x:c r="K45" s="17" t="str"/>
      <x:c r="L45" s="17" t="str">
        <x:v>Preventive</x:v>
      </x:c>
      <x:c r="M45" s="17" t="str">
        <x:v>All</x:v>
      </x:c>
      <x:c r="N45" s="17" t="str">
        <x:v>Scope based on exposure and risk.</x:v>
      </x:c>
      <x:c r="O45" s="17" t="str"/>
    </x:row>
    <x:row r="46">
      <x:c r="A46" s="17" t="str">
        <x:v>VXI-SEC-006</x:v>
      </x:c>
      <x:c r="B46" s="17" t="str">
        <x:v>Security Reviews</x:v>
      </x:c>
      <x:c r="C46" s="17" t="str">
        <x:v>Penetration Testing</x:v>
      </x:c>
      <x:c r="D46" s="17" t="str">
        <x:v>Penetration test scope</x:v>
      </x:c>
      <x:c r="E46" s="17" t="str">
        <x:v>High-risk, internet-facing, payment, sensitive-data, or critical applications must be included in internal or external penetration testing scope.</x:v>
      </x:c>
      <x:c r="F46" s="17" t="str">
        <x:v>Pen test plan, report, remediation tracker</x:v>
      </x:c>
      <x:c r="G46" s="17" t="str">
        <x:v>IT Security</x:v>
      </x:c>
      <x:c r="H46" s="17" t="str">
        <x:v>Annual/major release</x:v>
      </x:c>
      <x:c r="I46" s="17" t="str">
        <x:v>High</x:v>
      </x:c>
      <x:c r="J46" s="17" t="str">
        <x:v>Not Started</x:v>
      </x:c>
      <x:c r="K46" s="17" t="str"/>
      <x:c r="L46" s="17" t="str">
        <x:v>Preventive</x:v>
      </x:c>
      <x:c r="M46" s="17" t="str">
        <x:v>All</x:v>
      </x:c>
      <x:c r="N46" s="17" t="str">
        <x:v>Can be risk-based rather than universal.</x:v>
      </x:c>
      <x:c r="O46" s="17" t="str"/>
    </x:row>
    <x:row r="47">
      <x:c r="A47" s="17" t="str">
        <x:v>VXI-SEC-007</x:v>
      </x:c>
      <x:c r="B47" s="17" t="str">
        <x:v>Security Reviews</x:v>
      </x:c>
      <x:c r="C47" s="17" t="str">
        <x:v>Vulnerability Management</x:v>
      </x:c>
      <x:c r="D47" s="17" t="str">
        <x:v>Vulnerability remediation SLA</x:v>
      </x:c>
      <x:c r="E47" s="17" t="str">
        <x:v>Application, dependency, container, infrastructure, and cloud configuration findings must be triaged and remediated according to severity SLA.</x:v>
      </x:c>
      <x:c r="F47" s="17" t="str">
        <x:v>SLA policy, vulnerability dashboard, overdue report</x:v>
      </x:c>
      <x:c r="G47" s="17" t="str">
        <x:v>IT Security</x:v>
      </x:c>
      <x:c r="H47" s="17" t="str">
        <x:v>Weekly/Monthly</x:v>
      </x:c>
      <x:c r="I47" s="17" t="str">
        <x:v>Critical</x:v>
      </x:c>
      <x:c r="J47" s="17" t="str">
        <x:v>Not Started</x:v>
      </x:c>
      <x:c r="K47" s="17" t="str"/>
      <x:c r="L47" s="17" t="str">
        <x:v>Preventive</x:v>
      </x:c>
      <x:c r="M47" s="17" t="str">
        <x:v>All</x:v>
      </x:c>
      <x:c r="N47" s="17" t="str">
        <x:v>Critical/high release blockers should be explicit.</x:v>
      </x:c>
      <x:c r="O47" s="17" t="str"/>
    </x:row>
    <x:row r="48">
      <x:c r="A48" s="17" t="str">
        <x:v>VXI-SEC-008</x:v>
      </x:c>
      <x:c r="B48" s="17" t="str">
        <x:v>Security Reviews</x:v>
      </x:c>
      <x:c r="C48" s="17" t="str">
        <x:v>Secrets Management</x:v>
      </x:c>
      <x:c r="D48" s="17" t="str">
        <x:v>Secret detection in code</x:v>
      </x:c>
      <x:c r="E48" s="17" t="str">
        <x:v>Repositories must run secret detection; confirmed secrets must be revoked, rotated, and removed from history according to incident process.</x:v>
      </x:c>
      <x:c r="F48" s="17" t="str">
        <x:v>Secret scan results, rotation evidence, incident ticket</x:v>
      </x:c>
      <x:c r="G48" s="17" t="str">
        <x:v>DevOps</x:v>
      </x:c>
      <x:c r="H48" s="17" t="str">
        <x:v>Each commit/build</x:v>
      </x:c>
      <x:c r="I48" s="17" t="str">
        <x:v>Critical</x:v>
      </x:c>
      <x:c r="J48" s="17" t="str">
        <x:v>Not Started</x:v>
      </x:c>
      <x:c r="K48" s="17" t="str"/>
      <x:c r="L48" s="17" t="str">
        <x:v>Preventive</x:v>
      </x:c>
      <x:c r="M48" s="17" t="str">
        <x:v>All</x:v>
      </x:c>
      <x:c r="N48" s="17" t="str">
        <x:v>Prevents unmanaged secrets entering repos.</x:v>
      </x:c>
      <x:c r="O48" s="17" t="str"/>
    </x:row>
    <x:row r="49">
      <x:c r="A49" s="17" t="str">
        <x:v>VXI-SEC-009</x:v>
      </x:c>
      <x:c r="B49" s="17" t="str">
        <x:v>Security Reviews</x:v>
      </x:c>
      <x:c r="C49" s="17" t="str">
        <x:v>Policy as Code</x:v>
      </x:c>
      <x:c r="D49" s="17" t="str">
        <x:v>Automated cloud security policy checks</x:v>
      </x:c>
      <x:c r="E49" s="17" t="str">
        <x:v>IaC and cloud deployments must be checked against policy-as-code rules for IAM, encryption, public exposure, logging, backup, tags, and approved services.</x:v>
      </x:c>
      <x:c r="F49" s="17" t="str">
        <x:v>Policy scan results, blocked build logs, rule exceptions</x:v>
      </x:c>
      <x:c r="G49" s="17" t="str">
        <x:v>Cloud Infra</x:v>
      </x:c>
      <x:c r="H49" s="17" t="str">
        <x:v>Each change</x:v>
      </x:c>
      <x:c r="I49" s="17" t="str">
        <x:v>Critical</x:v>
      </x:c>
      <x:c r="J49" s="17" t="str">
        <x:v>Not Started</x:v>
      </x:c>
      <x:c r="K49" s="17" t="str"/>
      <x:c r="L49" s="17" t="str">
        <x:v>Preventive</x:v>
      </x:c>
      <x:c r="M49" s="17" t="str">
        <x:v>All</x:v>
      </x:c>
      <x:c r="N49" s="17" t="str">
        <x:v>Guardrails should be enforced before apply.</x:v>
      </x:c>
      <x:c r="O49" s="17" t="str"/>
    </x:row>
    <x:row r="50">
      <x:c r="A50" s="17" t="str">
        <x:v>VXI-SEC-010</x:v>
      </x:c>
      <x:c r="B50" s="17" t="str">
        <x:v>Security Reviews</x:v>
      </x:c>
      <x:c r="C50" s="17" t="str">
        <x:v>Release Security Gate</x:v>
      </x:c>
      <x:c r="D50" s="17" t="str">
        <x:v>Security signoff before production</x:v>
      </x:c>
      <x:c r="E50" s="17" t="str">
        <x:v>Production releases must have security signoff confirming required scans, risk acceptances, IAM model, logging, secrets, and architecture actions are complete.</x:v>
      </x:c>
      <x:c r="F50" s="17" t="str">
        <x:v>Security release checklist, approval record</x:v>
      </x:c>
      <x:c r="G50" s="17" t="str">
        <x:v>IT Security</x:v>
      </x:c>
      <x:c r="H50" s="17" t="str">
        <x:v>Each release</x:v>
      </x:c>
      <x:c r="I50" s="17" t="str">
        <x:v>Critical</x:v>
      </x:c>
      <x:c r="J50" s="17" t="str">
        <x:v>Not Started</x:v>
      </x:c>
      <x:c r="K50" s="17" t="str"/>
      <x:c r="L50" s="17" t="str">
        <x:v>Preventive</x:v>
      </x:c>
      <x:c r="M50" s="17" t="str">
        <x:v>All</x:v>
      </x:c>
      <x:c r="N50" s="17" t="str">
        <x:v>No silent promotion from dev to prod.</x:v>
      </x:c>
      <x:c r="O50" s="17" t="str"/>
    </x:row>
    <x:row r="51">
      <x:c r="A51" s="17" t="str">
        <x:v>VXI-OPS-001</x:v>
      </x:c>
      <x:c r="B51" s="17" t="str">
        <x:v>Operations</x:v>
      </x:c>
      <x:c r="C51" s="17" t="str">
        <x:v>Monitoring</x:v>
      </x:c>
      <x:c r="D51" s="17" t="str">
        <x:v>Minimum monitoring before go-live</x:v>
      </x:c>
      <x:c r="E51" s="17" t="str">
        <x:v>No project may be deployed to production without basic monitoring for availability, latency, errors, saturation/capacity, key business transactions, and dependencies.</x:v>
      </x:c>
      <x:c r="F51" s="17" t="str">
        <x:v>Monitoring dashboard, alert policy, synthetic checks where applicable</x:v>
      </x:c>
      <x:c r="G51" s="17" t="str">
        <x:v>SRE/Operations</x:v>
      </x:c>
      <x:c r="H51" s="17" t="str">
        <x:v>Each release</x:v>
      </x:c>
      <x:c r="I51" s="17" t="str">
        <x:v>Critical</x:v>
      </x:c>
      <x:c r="J51" s="17" t="str">
        <x:v>Not Started</x:v>
      </x:c>
      <x:c r="K51" s="17" t="str"/>
      <x:c r="L51" s="17" t="str">
        <x:v>Preventive</x:v>
      </x:c>
      <x:c r="M51" s="17" t="str">
        <x:v>All</x:v>
      </x:c>
      <x:c r="N51" s="17" t="str">
        <x:v>Directly addresses post-production support model.</x:v>
      </x:c>
      <x:c r="O51" s="17" t="str"/>
    </x:row>
    <x:row r="52">
      <x:c r="A52" s="17" t="str">
        <x:v>VXI-OPS-002</x:v>
      </x:c>
      <x:c r="B52" s="17" t="str">
        <x:v>Operations</x:v>
      </x:c>
      <x:c r="C52" s="17" t="str">
        <x:v>Logging</x:v>
      </x:c>
      <x:c r="D52" s="17" t="str">
        <x:v>Centralized logging</x:v>
      </x:c>
      <x:c r="E52" s="17" t="str">
        <x:v>Application, infrastructure, cloud audit, IAM, security, and privileged action logs must be centralized with retention and access controls.</x:v>
      </x:c>
      <x:c r="F52" s="17" t="str">
        <x:v>Log source inventory, SIEM/log platform evidence</x:v>
      </x:c>
      <x:c r="G52" s="17" t="str">
        <x:v>SRE/Operations</x:v>
      </x:c>
      <x:c r="H52" s="17" t="str">
        <x:v>Each environment</x:v>
      </x:c>
      <x:c r="I52" s="17" t="str">
        <x:v>Critical</x:v>
      </x:c>
      <x:c r="J52" s="17" t="str">
        <x:v>Not Started</x:v>
      </x:c>
      <x:c r="K52" s="17" t="str"/>
      <x:c r="L52" s="17" t="str">
        <x:v>Preventive</x:v>
      </x:c>
      <x:c r="M52" s="17" t="str">
        <x:v>All</x:v>
      </x:c>
      <x:c r="N52" s="17" t="str">
        <x:v>Dev privileged actions should be included.</x:v>
      </x:c>
      <x:c r="O52" s="17" t="str"/>
    </x:row>
    <x:row r="53">
      <x:c r="A53" s="17" t="str">
        <x:v>VXI-OPS-003</x:v>
      </x:c>
      <x:c r="B53" s="17" t="str">
        <x:v>Operations</x:v>
      </x:c>
      <x:c r="C53" s="17" t="str">
        <x:v>Alerting</x:v>
      </x:c>
      <x:c r="D53" s="17" t="str">
        <x:v>Alert triage and ownership</x:v>
      </x:c>
      <x:c r="E53" s="17" t="str">
        <x:v>Alerts must have severity, owner, runbook, escalation route, and noise review process before production.</x:v>
      </x:c>
      <x:c r="F53" s="17" t="str">
        <x:v>Alert catalog, runbooks, on-call schedule</x:v>
      </x:c>
      <x:c r="G53" s="17" t="str">
        <x:v>SRE/Operations</x:v>
      </x:c>
      <x:c r="H53" s="17" t="str">
        <x:v>Each release/quarterly</x:v>
      </x:c>
      <x:c r="I53" s="17" t="str">
        <x:v>High</x:v>
      </x:c>
      <x:c r="J53" s="17" t="str">
        <x:v>Not Started</x:v>
      </x:c>
      <x:c r="K53" s="17" t="str"/>
      <x:c r="L53" s="17" t="str">
        <x:v>Preventive</x:v>
      </x:c>
      <x:c r="M53" s="17" t="str">
        <x:v>All</x:v>
      </x:c>
      <x:c r="N53" s="17" t="str">
        <x:v>Avoids monitoring without response ownership.</x:v>
      </x:c>
      <x:c r="O53" s="17" t="str"/>
    </x:row>
    <x:row r="54">
      <x:c r="A54" s="17" t="str">
        <x:v>VXI-OPS-004</x:v>
      </x:c>
      <x:c r="B54" s="17" t="str">
        <x:v>Operations</x:v>
      </x:c>
      <x:c r="C54" s="17" t="str">
        <x:v>Runbooks</x:v>
      </x:c>
      <x:c r="D54" s="17" t="str">
        <x:v>Operational runbooks</x:v>
      </x:c>
      <x:c r="E54" s="17" t="str">
        <x:v>Production services must have runbooks for startup/shutdown, common failures, rollback, dependency outage, emergency access, and support handoff.</x:v>
      </x:c>
      <x:c r="F54" s="17" t="str">
        <x:v>Runbook, operational readiness review signoff</x:v>
      </x:c>
      <x:c r="G54" s="17" t="str">
        <x:v>Product Team</x:v>
      </x:c>
      <x:c r="H54" s="17" t="str">
        <x:v>Each release</x:v>
      </x:c>
      <x:c r="I54" s="17" t="str">
        <x:v>High</x:v>
      </x:c>
      <x:c r="J54" s="17" t="str">
        <x:v>Not Started</x:v>
      </x:c>
      <x:c r="K54" s="17" t="str"/>
      <x:c r="L54" s="17" t="str">
        <x:v>Preventive</x:v>
      </x:c>
      <x:c r="M54" s="17" t="str">
        <x:v>All</x:v>
      </x:c>
      <x:c r="N54" s="17" t="str">
        <x:v>Runbooks should be stored with service documentation.</x:v>
      </x:c>
      <x:c r="O54" s="17" t="str"/>
    </x:row>
    <x:row r="55">
      <x:c r="A55" s="17" t="str">
        <x:v>VXI-OPS-005</x:v>
      </x:c>
      <x:c r="B55" s="17" t="str">
        <x:v>Operations</x:v>
      </x:c>
      <x:c r="C55" s="17" t="str">
        <x:v>Post Production Support</x:v>
      </x:c>
      <x:c r="D55" s="17" t="str">
        <x:v>Support model</x:v>
      </x:c>
      <x:c r="E55" s="17" t="str">
        <x:v>Each production application must have defined L1/L2/L3 support ownership, escalation, hours of coverage, incident communication, and SLA/SLO expectations.</x:v>
      </x:c>
      <x:c r="F55" s="17" t="str">
        <x:v>Support model document, support group mapping, contact list</x:v>
      </x:c>
      <x:c r="G55" s="17" t="str">
        <x:v>SRE/Operations</x:v>
      </x:c>
      <x:c r="H55" s="17" t="str">
        <x:v>Each release</x:v>
      </x:c>
      <x:c r="I55" s="17" t="str">
        <x:v>Critical</x:v>
      </x:c>
      <x:c r="J55" s="17" t="str">
        <x:v>Not Started</x:v>
      </x:c>
      <x:c r="K55" s="17" t="str"/>
      <x:c r="L55" s="17" t="str">
        <x:v>Preventive</x:v>
      </x:c>
      <x:c r="M55" s="17" t="str">
        <x:v>All</x:v>
      </x:c>
      <x:c r="N55" s="17" t="str">
        <x:v>No ownerless production services.</x:v>
      </x:c>
      <x:c r="O55" s="17" t="str"/>
    </x:row>
    <x:row r="56">
      <x:c r="A56" s="17" t="str">
        <x:v>VXI-OPS-006</x:v>
      </x:c>
      <x:c r="B56" s="17" t="str">
        <x:v>Operations</x:v>
      </x:c>
      <x:c r="C56" s="17" t="str">
        <x:v>Incident Management</x:v>
      </x:c>
      <x:c r="D56" s="17" t="str">
        <x:v>Incident and problem management linkage</x:v>
      </x:c>
      <x:c r="E56" s="17" t="str">
        <x:v>Production incidents must generate incident records; recurring or major incidents must have root cause analysis and tracked corrective actions.</x:v>
      </x:c>
      <x:c r="F56" s="17" t="str">
        <x:v>Incident ticket, RCA, corrective action tracker</x:v>
      </x:c>
      <x:c r="G56" s="17" t="str">
        <x:v>SRE/Operations</x:v>
      </x:c>
      <x:c r="H56" s="17" t="str">
        <x:v>Each incident</x:v>
      </x:c>
      <x:c r="I56" s="17" t="str">
        <x:v>High</x:v>
      </x:c>
      <x:c r="J56" s="17" t="str">
        <x:v>Not Started</x:v>
      </x:c>
      <x:c r="K56" s="17" t="str"/>
      <x:c r="L56" s="17" t="str">
        <x:v>Preventive</x:v>
      </x:c>
      <x:c r="M56" s="17" t="str">
        <x:v>All</x:v>
      </x:c>
      <x:c r="N56" s="17" t="str">
        <x:v>Feeds continuous improvement.</x:v>
      </x:c>
      <x:c r="O56" s="17" t="str"/>
    </x:row>
    <x:row r="57">
      <x:c r="A57" s="17" t="str">
        <x:v>VXI-OPS-007</x:v>
      </x:c>
      <x:c r="B57" s="17" t="str">
        <x:v>Operations</x:v>
      </x:c>
      <x:c r="C57" s="17" t="str">
        <x:v>Capacity and Cost</x:v>
      </x:c>
      <x:c r="D57" s="17" t="str">
        <x:v>Capacity monitoring</x:v>
      </x:c>
      <x:c r="E57" s="17" t="str">
        <x:v>Cloud resources must have capacity, utilization, and cost monitoring with rightsizing reviews for dev/test/prod.</x:v>
      </x:c>
      <x:c r="F57" s="17" t="str">
        <x:v>Capacity dashboard, rightsizing recommendations, action tickets</x:v>
      </x:c>
      <x:c r="G57" s="17" t="str">
        <x:v>Cloud Infra</x:v>
      </x:c>
      <x:c r="H57" s="17" t="str">
        <x:v>Monthly</x:v>
      </x:c>
      <x:c r="I57" s="17" t="str">
        <x:v>Medium</x:v>
      </x:c>
      <x:c r="J57" s="17" t="str">
        <x:v>Not Started</x:v>
      </x:c>
      <x:c r="K57" s="17" t="str"/>
      <x:c r="L57" s="17" t="str">
        <x:v>Preventive</x:v>
      </x:c>
      <x:c r="M57" s="17" t="str">
        <x:v>All</x:v>
      </x:c>
      <x:c r="N57" s="17" t="str">
        <x:v>Catches idle and oversized resources.</x:v>
      </x:c>
      <x:c r="O57" s="17" t="str"/>
    </x:row>
    <x:row r="58">
      <x:c r="A58" s="17" t="str">
        <x:v>VXI-OPS-008</x:v>
      </x:c>
      <x:c r="B58" s="17" t="str">
        <x:v>Operations</x:v>
      </x:c>
      <x:c r="C58" s="17" t="str">
        <x:v>Backup and Recovery</x:v>
      </x:c>
      <x:c r="D58" s="17" t="str">
        <x:v>Backup and restore testing</x:v>
      </x:c>
      <x:c r="E58" s="17" t="str">
        <x:v>Systems with persistent data must have backup policy, retention, encryption, restore ownership, and periodic restore tests.</x:v>
      </x:c>
      <x:c r="F58" s="17" t="str">
        <x:v>Backup configuration, restore test result, retention policy</x:v>
      </x:c>
      <x:c r="G58" s="17" t="str">
        <x:v>SRE/Operations</x:v>
      </x:c>
      <x:c r="H58" s="17" t="str">
        <x:v>Quarterly/Semiannual</x:v>
      </x:c>
      <x:c r="I58" s="17" t="str">
        <x:v>High</x:v>
      </x:c>
      <x:c r="J58" s="17" t="str">
        <x:v>Not Started</x:v>
      </x:c>
      <x:c r="K58" s="17" t="str"/>
      <x:c r="L58" s="17" t="str">
        <x:v>Preventive</x:v>
      </x:c>
      <x:c r="M58" s="17" t="str">
        <x:v>All</x:v>
      </x:c>
      <x:c r="N58" s="17" t="str">
        <x:v>Depends on data criticality.</x:v>
      </x:c>
      <x:c r="O58" s="17" t="str"/>
    </x:row>
    <x:row r="59">
      <x:c r="A59" s="17" t="str">
        <x:v>VXI-CMDB-001</x:v>
      </x:c>
      <x:c r="B59" s="17" t="str">
        <x:v>Inventory</x:v>
      </x:c>
      <x:c r="C59" s="17" t="str">
        <x:v>Application Inventory</x:v>
      </x:c>
      <x:c r="D59" s="17" t="str">
        <x:v>CMDB onboarding</x:v>
      </x:c>
      <x:c r="E59" s="17" t="str">
        <x:v>Every application/service must be onboarded to asset management/CMDB before production, including owner, business purpose, environment, repo, data classification, support group, and criticality.</x:v>
      </x:c>
      <x:c r="F59" s="17" t="str">
        <x:v>CMDB record, required fields complete, approval evidence</x:v>
      </x:c>
      <x:c r="G59" s="17" t="str">
        <x:v>Asset Management</x:v>
      </x:c>
      <x:c r="H59" s="17" t="str">
        <x:v>Each service</x:v>
      </x:c>
      <x:c r="I59" s="17" t="str">
        <x:v>Critical</x:v>
      </x:c>
      <x:c r="J59" s="17" t="str">
        <x:v>Not Started</x:v>
      </x:c>
      <x:c r="K59" s="17" t="str"/>
      <x:c r="L59" s="17" t="str">
        <x:v>Preventive</x:v>
      </x:c>
      <x:c r="M59" s="17" t="str">
        <x:v>All</x:v>
      </x:c>
      <x:c r="N59" s="17" t="str">
        <x:v>Requested application/services inventory control.</x:v>
      </x:c>
      <x:c r="O59" s="17" t="str"/>
    </x:row>
    <x:row r="60">
      <x:c r="A60" s="17" t="str">
        <x:v>VXI-CMDB-002</x:v>
      </x:c>
      <x:c r="B60" s="17" t="str">
        <x:v>Inventory</x:v>
      </x:c>
      <x:c r="C60" s="17" t="str">
        <x:v>Cloud Inventory</x:v>
      </x:c>
      <x:c r="D60" s="17" t="str">
        <x:v>Cloud resource inventory reconciliation</x:v>
      </x:c>
      <x:c r="E60" s="17" t="str">
        <x:v>Cloud resources must be reconciled to CMDB/application inventory using mandatory tags and automated discovery.</x:v>
      </x:c>
      <x:c r="F60" s="17" t="str">
        <x:v>Inventory reconciliation report, orphan resource report</x:v>
      </x:c>
      <x:c r="G60" s="17" t="str">
        <x:v>Asset Management</x:v>
      </x:c>
      <x:c r="H60" s="17" t="str">
        <x:v>Monthly</x:v>
      </x:c>
      <x:c r="I60" s="17" t="str">
        <x:v>High</x:v>
      </x:c>
      <x:c r="J60" s="17" t="str">
        <x:v>Not Started</x:v>
      </x:c>
      <x:c r="K60" s="17" t="str"/>
      <x:c r="L60" s="17" t="str">
        <x:v>Preventive</x:v>
      </x:c>
      <x:c r="M60" s="17" t="str">
        <x:v>All</x:v>
      </x:c>
      <x:c r="N60" s="17" t="str">
        <x:v>Identifies unapproved products and orphan spend.</x:v>
      </x:c>
      <x:c r="O60" s="17" t="str"/>
    </x:row>
    <x:row r="61">
      <x:c r="A61" s="17" t="str">
        <x:v>VXI-CMDB-003</x:v>
      </x:c>
      <x:c r="B61" s="17" t="str">
        <x:v>Inventory</x:v>
      </x:c>
      <x:c r="C61" s="17" t="str">
        <x:v>Repository Inventory</x:v>
      </x:c>
      <x:c r="D61" s="17" t="str">
        <x:v>Repository-to-application mapping</x:v>
      </x:c>
      <x:c r="E61" s="17" t="str">
        <x:v>Production-bound repositories must be mapped to application/service records, owners, pipelines, dependencies, and deployment targets.</x:v>
      </x:c>
      <x:c r="F61" s="17" t="str">
        <x:v>Repo inventory, CMDB link, pipeline link</x:v>
      </x:c>
      <x:c r="G61" s="17" t="str">
        <x:v>DevOps</x:v>
      </x:c>
      <x:c r="H61" s="17" t="str">
        <x:v>Monthly</x:v>
      </x:c>
      <x:c r="I61" s="17" t="str">
        <x:v>High</x:v>
      </x:c>
      <x:c r="J61" s="17" t="str">
        <x:v>Not Started</x:v>
      </x:c>
      <x:c r="K61" s="17" t="str"/>
      <x:c r="L61" s="17" t="str">
        <x:v>Preventive</x:v>
      </x:c>
      <x:c r="M61" s="17" t="str">
        <x:v>All</x:v>
      </x:c>
      <x:c r="N61" s="17" t="str">
        <x:v>Enables code ownership and SDLC evidence.</x:v>
      </x:c>
      <x:c r="O61" s="17" t="str"/>
    </x:row>
    <x:row r="62">
      <x:c r="A62" s="17" t="str">
        <x:v>VXI-CMDB-004</x:v>
      </x:c>
      <x:c r="B62" s="17" t="str">
        <x:v>Inventory</x:v>
      </x:c>
      <x:c r="C62" s="17" t="str">
        <x:v>Dependency Inventory</x:v>
      </x:c>
      <x:c r="D62" s="17" t="str">
        <x:v>Dependency and third-party inventory</x:v>
      </x:c>
      <x:c r="E62" s="17" t="str">
        <x:v>Applications must maintain an inventory of open source, vendor, SaaS, API, and third-party components used at runtime or build time.</x:v>
      </x:c>
      <x:c r="F62" s="17" t="str">
        <x:v>SBOM, vendor list, SCA report, third-party review</x:v>
      </x:c>
      <x:c r="G62" s="17" t="str">
        <x:v>Product Team</x:v>
      </x:c>
      <x:c r="H62" s="17" t="str">
        <x:v>Each release</x:v>
      </x:c>
      <x:c r="I62" s="17" t="str">
        <x:v>High</x:v>
      </x:c>
      <x:c r="J62" s="17" t="str">
        <x:v>Not Started</x:v>
      </x:c>
      <x:c r="K62" s="17" t="str"/>
      <x:c r="L62" s="17" t="str">
        <x:v>Preventive</x:v>
      </x:c>
      <x:c r="M62" s="17" t="str">
        <x:v>All</x:v>
      </x:c>
      <x:c r="N62" s="17" t="str">
        <x:v>Supports license, vulnerability, and vendor risk controls.</x:v>
      </x:c>
      <x:c r="O62" s="17" t="str"/>
    </x:row>
    <x:row r="63">
      <x:c r="A63" s="17" t="str">
        <x:v>VXI-CMDB-005</x:v>
      </x:c>
      <x:c r="B63" s="17" t="str">
        <x:v>Inventory</x:v>
      </x:c>
      <x:c r="C63" s="17" t="str">
        <x:v>Lifecycle</x:v>
      </x:c>
      <x:c r="D63" s="17" t="str">
        <x:v>Lifecycle and decommissioning</x:v>
      </x:c>
      <x:c r="E63" s="17" t="str">
        <x:v>Applications and dev environments must have lifecycle state, review date, expiration/decommission plan, and cleanup owner.</x:v>
      </x:c>
      <x:c r="F63" s="17" t="str">
        <x:v>Lifecycle fields, decommission tickets, cleanup evidence</x:v>
      </x:c>
      <x:c r="G63" s="17" t="str">
        <x:v>Product Team</x:v>
      </x:c>
      <x:c r="H63" s="17" t="str">
        <x:v>Quarterly</x:v>
      </x:c>
      <x:c r="I63" s="17" t="str">
        <x:v>Medium</x:v>
      </x:c>
      <x:c r="J63" s="17" t="str">
        <x:v>Not Started</x:v>
      </x:c>
      <x:c r="K63" s="17" t="str"/>
      <x:c r="L63" s="17" t="str">
        <x:v>Preventive</x:v>
      </x:c>
      <x:c r="M63" s="17" t="str">
        <x:v>All</x:v>
      </x:c>
      <x:c r="N63" s="17" t="str">
        <x:v>Prevents abandoned services and environments.</x:v>
      </x:c>
      <x:c r="O63" s="17" t="str"/>
    </x:row>
    <x:row r="64">
      <x:c r="A64" s="17" t="str">
        <x:v>VXI-REL-001</x:v>
      </x:c>
      <x:c r="B64" s="17" t="str">
        <x:v>Release</x:v>
      </x:c>
      <x:c r="C64" s="17" t="str">
        <x:v>CI/CD</x:v>
      </x:c>
      <x:c r="D64" s="17" t="str">
        <x:v>Controlled deployment pipeline</x:v>
      </x:c>
      <x:c r="E64" s="17" t="str">
        <x:v>Deployments to shared dev, test, staging, and prod must occur through approved CI/CD pipelines using service identities, not individual developer cloud admin access.</x:v>
      </x:c>
      <x:c r="F64" s="17" t="str">
        <x:v>Pipeline configuration, deployment logs, service account permissions</x:v>
      </x:c>
      <x:c r="G64" s="17" t="str">
        <x:v>DevOps</x:v>
      </x:c>
      <x:c r="H64" s="17" t="str">
        <x:v>Each deployment</x:v>
      </x:c>
      <x:c r="I64" s="17" t="str">
        <x:v>Critical</x:v>
      </x:c>
      <x:c r="J64" s="17" t="str">
        <x:v>Not Started</x:v>
      </x:c>
      <x:c r="K64" s="17" t="str"/>
      <x:c r="L64" s="17" t="str">
        <x:v>Preventive</x:v>
      </x:c>
      <x:c r="M64" s="17" t="str">
        <x:v>Dev/Test/Prod</x:v>
      </x:c>
      <x:c r="N64" s="17" t="str">
        <x:v>Developers commit code; pipeline deploys approved infrastructure/app changes.</x:v>
      </x:c>
      <x:c r="O64" s="17" t="str"/>
    </x:row>
    <x:row r="65">
      <x:c r="A65" s="17" t="str">
        <x:v>VXI-REL-002</x:v>
      </x:c>
      <x:c r="B65" s="17" t="str">
        <x:v>Release</x:v>
      </x:c>
      <x:c r="C65" s="17" t="str">
        <x:v>Branching and Promotion</x:v>
      </x:c>
      <x:c r="D65" s="17" t="str">
        <x:v>Stable dev branch requirement</x:v>
      </x:c>
      <x:c r="E65" s="17" t="str">
        <x:v>Code must be committed to an agreed stable development branch before requesting cloud dev deployment or promotion.</x:v>
      </x:c>
      <x:c r="F65" s="17" t="str">
        <x:v>Branch policy, pull request, pipeline trigger</x:v>
      </x:c>
      <x:c r="G65" s="17" t="str">
        <x:v>DevOps</x:v>
      </x:c>
      <x:c r="H65" s="17" t="str">
        <x:v>Each deployment</x:v>
      </x:c>
      <x:c r="I65" s="17" t="str">
        <x:v>High</x:v>
      </x:c>
      <x:c r="J65" s="17" t="str">
        <x:v>Not Started</x:v>
      </x:c>
      <x:c r="K65" s="17" t="str"/>
      <x:c r="L65" s="17" t="str">
        <x:v>Preventive</x:v>
      </x:c>
      <x:c r="M65" s="17" t="str">
        <x:v>Dev/Test/Prod</x:v>
      </x:c>
      <x:c r="N65" s="17" t="str">
        <x:v>Supports repeatable build and release.</x:v>
      </x:c>
      <x:c r="O65" s="17" t="str"/>
    </x:row>
    <x:row r="66">
      <x:c r="A66" s="17" t="str">
        <x:v>VXI-REL-003</x:v>
      </x:c>
      <x:c r="B66" s="17" t="str">
        <x:v>Release</x:v>
      </x:c>
      <x:c r="C66" s="17" t="str">
        <x:v>Change Management</x:v>
      </x:c>
      <x:c r="D66" s="17" t="str">
        <x:v>Change request before production</x:v>
      </x:c>
      <x:c r="E66" s="17" t="str">
        <x:v>Production deployments must have a change record linked to release evidence, approvals, rollback plan, monitoring readiness, and support model.</x:v>
      </x:c>
      <x:c r="F66" s="17" t="str">
        <x:v>Change ticket, CAB/approval, rollback plan</x:v>
      </x:c>
      <x:c r="G66" s="17" t="str">
        <x:v>DevOps</x:v>
      </x:c>
      <x:c r="H66" s="17" t="str">
        <x:v>Each production release</x:v>
      </x:c>
      <x:c r="I66" s="17" t="str">
        <x:v>Critical</x:v>
      </x:c>
      <x:c r="J66" s="17" t="str">
        <x:v>Not Started</x:v>
      </x:c>
      <x:c r="K66" s="17" t="str"/>
      <x:c r="L66" s="17" t="str">
        <x:v>Preventive</x:v>
      </x:c>
      <x:c r="M66" s="17" t="str">
        <x:v>Dev/Test/Prod</x:v>
      </x:c>
      <x:c r="N66" s="17" t="str">
        <x:v>Emergency changes require retrospective review.</x:v>
      </x:c>
      <x:c r="O66" s="17" t="str"/>
    </x:row>
    <x:row r="67">
      <x:c r="A67" s="17" t="str">
        <x:v>VXI-REL-004</x:v>
      </x:c>
      <x:c r="B67" s="17" t="str">
        <x:v>Release</x:v>
      </x:c>
      <x:c r="C67" s="17" t="str">
        <x:v>Testing and Signoff</x:v>
      </x:c>
      <x:c r="D67" s="17" t="str">
        <x:v>Go/no-go checkpoint</x:v>
      </x:c>
      <x:c r="E67" s="17" t="str">
        <x:v>Promotion from dev/test to prod must include a documented go/no-go decision covering functional testing, security, architecture, operations, data, IAM, and business acceptance.</x:v>
      </x:c>
      <x:c r="F67" s="17" t="str">
        <x:v>Go/no-go record, test results, signoffs</x:v>
      </x:c>
      <x:c r="G67" s="17" t="str">
        <x:v>Product Team</x:v>
      </x:c>
      <x:c r="H67" s="17" t="str">
        <x:v>Each release</x:v>
      </x:c>
      <x:c r="I67" s="17" t="str">
        <x:v>Critical</x:v>
      </x:c>
      <x:c r="J67" s="17" t="str">
        <x:v>Not Started</x:v>
      </x:c>
      <x:c r="K67" s="17" t="str"/>
      <x:c r="L67" s="17" t="str">
        <x:v>Preventive</x:v>
      </x:c>
      <x:c r="M67" s="17" t="str">
        <x:v>Dev/Test/Prod</x:v>
      </x:c>
      <x:c r="N67" s="17" t="str">
        <x:v>Explicit checkpoint from the target model.</x:v>
      </x:c>
      <x:c r="O67" s="17" t="str"/>
    </x:row>
    <x:row r="68">
      <x:c r="A68" s="17" t="str">
        <x:v>VXI-REL-005</x:v>
      </x:c>
      <x:c r="B68" s="17" t="str">
        <x:v>Release</x:v>
      </x:c>
      <x:c r="C68" s="17" t="str">
        <x:v>Dev/Prod Separation</x:v>
      </x:c>
      <x:c r="D68" s="17" t="str">
        <x:v>Dev is not production control</x:v>
      </x:c>
      <x:c r="E68" s="17" t="str">
        <x:v>Dev environments must not host production workloads, production users, production SLAs, production-sensitive data, or production integrations unless formally approved as a controlled non-prod exception.</x:v>
      </x:c>
      <x:c r="F68" s="17" t="str">
        <x:v>Environment review, traffic/access logs, data classification evidence</x:v>
      </x:c>
      <x:c r="G68" s="17" t="str">
        <x:v>IT Security</x:v>
      </x:c>
      <x:c r="H68" s="17" t="str">
        <x:v>Monthly</x:v>
      </x:c>
      <x:c r="I68" s="17" t="str">
        <x:v>Critical</x:v>
      </x:c>
      <x:c r="J68" s="17" t="str">
        <x:v>Not Started</x:v>
      </x:c>
      <x:c r="K68" s="17" t="str"/>
      <x:c r="L68" s="17" t="str">
        <x:v>Preventive</x:v>
      </x:c>
      <x:c r="M68" s="17" t="str">
        <x:v>Dev/Test/Prod</x:v>
      </x:c>
      <x:c r="N68" s="17" t="str">
        <x:v>Direct response to dev used as substitute production.</x:v>
      </x:c>
      <x:c r="O68" s="17" t="str"/>
    </x:row>
    <x:row r="69">
      <x:c r="A69" s="17" t="str">
        <x:v>VXI-REL-006</x:v>
      </x:c>
      <x:c r="B69" s="17" t="str">
        <x:v>Release</x:v>
      </x:c>
      <x:c r="C69" s="17" t="str">
        <x:v>Rollback</x:v>
      </x:c>
      <x:c r="D69" s="17" t="str">
        <x:v>Rollback and recovery plan</x:v>
      </x:c>
      <x:c r="E69" s="17" t="str">
        <x:v>Production releases must include tested rollback or recovery procedures proportionate to risk.</x:v>
      </x:c>
      <x:c r="F69" s="17" t="str">
        <x:v>Rollback plan, test evidence, release checklist</x:v>
      </x:c>
      <x:c r="G69" s="17" t="str">
        <x:v>DevOps</x:v>
      </x:c>
      <x:c r="H69" s="17" t="str">
        <x:v>Each release</x:v>
      </x:c>
      <x:c r="I69" s="17" t="str">
        <x:v>High</x:v>
      </x:c>
      <x:c r="J69" s="17" t="str">
        <x:v>Not Started</x:v>
      </x:c>
      <x:c r="K69" s="17" t="str"/>
      <x:c r="L69" s="17" t="str">
        <x:v>Preventive</x:v>
      </x:c>
      <x:c r="M69" s="17" t="str">
        <x:v>Dev/Test/Prod</x:v>
      </x:c>
      <x:c r="N69" s="17" t="str">
        <x:v>Includes database migration rollback or forward-fix plan.</x:v>
      </x:c>
      <x:c r="O69" s="17" t="str"/>
    </x:row>
    <x:row r="70">
      <x:c r="A70" s="17" t="str">
        <x:v>VXI-REL-007</x:v>
      </x:c>
      <x:c r="B70" s="17" t="str">
        <x:v>Release</x:v>
      </x:c>
      <x:c r="C70" s="17" t="str">
        <x:v>Documentation</x:v>
      </x:c>
      <x:c r="D70" s="17" t="str">
        <x:v>Release notes and operational handoff</x:v>
      </x:c>
      <x:c r="E70" s="17" t="str">
        <x:v>Production releases must include release notes, known issues, support handoff, monitoring changes, and dependencies impacted.</x:v>
      </x:c>
      <x:c r="F70" s="17" t="str">
        <x:v>Release notes, handoff record, support acknowledgement</x:v>
      </x:c>
      <x:c r="G70" s="17" t="str">
        <x:v>Product Team</x:v>
      </x:c>
      <x:c r="H70" s="17" t="str">
        <x:v>Each release</x:v>
      </x:c>
      <x:c r="I70" s="17" t="str">
        <x:v>Medium</x:v>
      </x:c>
      <x:c r="J70" s="17" t="str">
        <x:v>Not Started</x:v>
      </x:c>
      <x:c r="K70" s="17" t="str"/>
      <x:c r="L70" s="17" t="str">
        <x:v>Preventive</x:v>
      </x:c>
      <x:c r="M70" s="17" t="str">
        <x:v>Dev/Test/Prod</x:v>
      </x:c>
      <x:c r="N70" s="17" t="str">
        <x:v>Improves readiness for support teams.</x:v>
      </x:c>
      <x:c r="O70" s="17" t="str"/>
    </x:row>
  </x:sheetData>
  <x:mergeCells>
    <x:mergeCell ref="A1:O1"/>
    <x:mergeCell ref="A2:O2"/>
  </x:mergeCells>
  <x:conditionalFormatting sqref="I5:I70">
    <x:cfRule type="containsText" dxfId="0" priority="1" operator="containsText" text="Critical"/>
  </x:conditionalFormatting>
  <x:conditionalFormatting sqref="J5:J70">
    <x:cfRule type="containsText" dxfId="1" priority="2" operator="containsText" text="Validated"/>
    <x:cfRule type="containsText" dxfId="2" priority="3" operator="containsText" text="Exception"/>
  </x:conditionalFormatting>
  <x:dataValidations count="3">
    <x:dataValidation type="list" sqref="J5:J70">
      <x:formula1>"Not Started,In Design,In Progress,Implemented,Validated,Exception"</x:formula1>
    </x:dataValidation>
    <x:dataValidation type="list" sqref="I5:I70">
      <x:formula1>"Critical,High,Medium,Low"</x:formula1>
    </x:dataValidation>
    <x:dataValidation type="list" sqref="G5:G70">
      <x:formula1>"Cloud Infra,IT Security,DevOps,Product Team,Architecture,SRE/Operations,Asset Management,Legal/Compliance"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6b7eb6d98645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48" hidden="0" customWidth="1"/>
  </x:cols>
  <x:sheetData>
    <x:row r="1" ht="28" customHeight="1">
      <x:c r="A1" s="18" t="str">
        <x:v>IAM Role Model</x:v>
      </x:c>
      <x:c r="B1" s="19"/>
      <x:c r="C1" s="19"/>
      <x:c r="D1" s="19"/>
      <x:c r="E1" s="19"/>
      <x:c r="F1" s="19"/>
    </x:row>
    <x:row r="2" ht="28" customHeight="1">
      <x:c r="A2" s="20" t="str">
        <x:v>Target default access by persona and environment. Use this as the baseline for detailed cloud-provider IAM policies.</x:v>
      </x:c>
      <x:c r="B2" s="19"/>
      <x:c r="C2" s="19"/>
      <x:c r="D2" s="19"/>
      <x:c r="E2" s="19"/>
      <x:c r="F2" s="19"/>
    </x:row>
    <x:row r="3">
      <x:c r="A3" s="19"/>
      <x:c r="B3" s="19"/>
      <x:c r="C3" s="19"/>
      <x:c r="D3" s="19"/>
      <x:c r="E3" s="19"/>
      <x:c r="F3" s="19"/>
    </x:row>
    <x:row r="4">
      <x:c r="A4" s="16" t="str">
        <x:v>Persona / Role</x:v>
      </x:c>
      <x:c r="B4" s="16" t="str">
        <x:v>Dev</x:v>
      </x:c>
      <x:c r="C4" s="16" t="str">
        <x:v>Test</x:v>
      </x:c>
      <x:c r="D4" s="16" t="str">
        <x:v>Staging</x:v>
      </x:c>
      <x:c r="E4" s="16" t="str">
        <x:v>Prod</x:v>
      </x:c>
      <x:c r="F4" s="16" t="str">
        <x:v>Notes</x:v>
      </x:c>
    </x:row>
    <x:row r="5">
      <x:c r="A5" s="17" t="str">
        <x:v>Rank-and-file Developer</x:v>
      </x:c>
      <x:c r="B5" s="17" t="str">
        <x:v>Read-only cloud console; log view; pipeline view; no resource/IAM/API key creation</x:v>
      </x:c>
      <x:c r="C5" s="17" t="str">
        <x:v>Read-only plus deployment status view</x:v>
      </x:c>
      <x:c r="D5" s="17" t="str">
        <x:v>Read-only plus troubleshooting logs by need</x:v>
      </x:c>
      <x:c r="E5" s="17" t="str">
        <x:v>Read-only only</x:v>
      </x:c>
      <x:c r="F5" s="17" t="str">
        <x:v>Direct changes through ticketed JIT exception only.</x:v>
      </x:c>
    </x:row>
    <x:row r="6">
      <x:c r="A6" s="17" t="str">
        <x:v>Technical Lead</x:v>
      </x:c>
      <x:c r="B6" s="17" t="str">
        <x:v>Same as developer; may approve code but not own privileged access approval</x:v>
      </x:c>
      <x:c r="C6" s="17" t="str">
        <x:v>Read-only plus limited release coordination</x:v>
      </x:c>
      <x:c r="D6" s="17" t="str">
        <x:v>Read-only plus release coordination</x:v>
      </x:c>
      <x:c r="E6" s="17" t="str">
        <x:v>Read-only; no standing change</x:v>
      </x:c>
      <x:c r="F6" s="17" t="str">
        <x:v>Separate code approval from cloud privilege approval.</x:v>
      </x:c>
    </x:row>
    <x:row r="7">
      <x:c r="A7" s="17" t="str">
        <x:v>Cloud Infra Engineer</x:v>
      </x:c>
      <x:c r="B7" s="17" t="str">
        <x:v>IaC plan/apply through pipeline; admin via managed role for platform operations</x:v>
      </x:c>
      <x:c r="C7" s="17" t="str">
        <x:v>Same</x:v>
      </x:c>
      <x:c r="D7" s="17" t="str">
        <x:v>Same</x:v>
      </x:c>
      <x:c r="E7" s="17" t="str">
        <x:v>Privileged via controlled operational role</x:v>
      </x:c>
      <x:c r="F7" s="17" t="str">
        <x:v>Changes require ticket/PR and logging.</x:v>
      </x:c>
    </x:row>
    <x:row r="8">
      <x:c r="A8" s="17" t="str">
        <x:v>DevOps Engineer</x:v>
      </x:c>
      <x:c r="B8" s="17" t="str">
        <x:v>Pipeline administration within approved scope</x:v>
      </x:c>
      <x:c r="C8" s="17" t="str">
        <x:v>Pipeline administration within approved scope</x:v>
      </x:c>
      <x:c r="D8" s="17" t="str">
        <x:v>Release pipeline administration</x:v>
      </x:c>
      <x:c r="E8" s="17" t="str">
        <x:v>Production pipeline operation by change record</x:v>
      </x:c>
      <x:c r="F8" s="17" t="str">
        <x:v>No unmanaged console changes.</x:v>
      </x:c>
    </x:row>
    <x:row r="9">
      <x:c r="A9" s="17" t="str">
        <x:v>IT Security</x:v>
      </x:c>
      <x:c r="B9" s="17" t="str">
        <x:v>Security policy review; read audit logs; approve exceptions</x:v>
      </x:c>
      <x:c r="C9" s="17" t="str">
        <x:v>Same</x:v>
      </x:c>
      <x:c r="D9" s="17" t="str">
        <x:v>Same</x:v>
      </x:c>
      <x:c r="E9" s="17" t="str">
        <x:v>Security read/log review; approve security gates</x:v>
      </x:c>
      <x:c r="F9" s="17" t="str">
        <x:v>No routine app deployment ownership.</x:v>
      </x:c>
    </x:row>
    <x:row r="10">
      <x:c r="A10" s="17" t="str">
        <x:v>SRE / Operations</x:v>
      </x:c>
      <x:c r="B10" s="17" t="str">
        <x:v>Monitoring/logging setup and support access</x:v>
      </x:c>
      <x:c r="C10" s="17" t="str">
        <x:v>Same</x:v>
      </x:c>
      <x:c r="D10" s="17" t="str">
        <x:v>Operational readiness validation</x:v>
      </x:c>
      <x:c r="E10" s="17" t="str">
        <x:v>Operational support role by service</x:v>
      </x:c>
      <x:c r="F10" s="17" t="str">
        <x:v>Privileged access only as approved.</x:v>
      </x:c>
    </x:row>
    <x:row r="11">
      <x:c r="A11" s="17" t="str">
        <x:v>Director / Emergency Approver</x:v>
      </x:c>
      <x:c r="B11" s="17" t="str">
        <x:v>Approves exceptions, does not require standing admin</x:v>
      </x:c>
      <x:c r="C11" s="17" t="str">
        <x:v>Approves exceptions</x:v>
      </x:c>
      <x:c r="D11" s="17" t="str">
        <x:v>Approves exceptions</x:v>
      </x:c>
      <x:c r="E11" s="17" t="str">
        <x:v>Break-glass approval and post-use review</x:v>
      </x:c>
      <x:c r="F11" s="17" t="str">
        <x:v>Standing prod change access should be replaced with monitored break-glass.</x:v>
      </x:c>
    </x:row>
    <x:row r="12">
      <x:c r="A12" s="17" t="str">
        <x:v>Service Account / Pipeline Identity</x:v>
      </x:c>
      <x:c r="B12" s="17" t="str">
        <x:v>Scoped deployment role for approved IaC/app pipeline</x:v>
      </x:c>
      <x:c r="C12" s="17" t="str">
        <x:v>Scoped deployment role</x:v>
      </x:c>
      <x:c r="D12" s="17" t="str">
        <x:v>Scoped deployment role</x:v>
      </x:c>
      <x:c r="E12" s="17" t="str">
        <x:v>Scoped deployment role with change gate</x:v>
      </x:c>
      <x:c r="F12" s="17" t="str">
        <x:v>No shared secrets; prefer workload identity/federation.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a7f1257148840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55" hidden="0" customWidth="1"/>
    <x:col min="5" max="5" width="55" hidden="0" customWidth="1"/>
  </x:cols>
  <x:sheetData>
    <x:row r="1" ht="28" customHeight="1">
      <x:c r="A1" s="18" t="str">
        <x:v>Review Gates and Release Checkpoints</x:v>
      </x:c>
      <x:c r="B1" s="19"/>
      <x:c r="C1" s="19"/>
      <x:c r="D1" s="19"/>
      <x:c r="E1" s="19"/>
    </x:row>
    <x:row r="2" ht="28" customHeight="1">
      <x:c r="A2" s="20" t="str">
        <x:v>Required planning, cloud provisioning, architecture, security, operational, go-live, and post-implementation checkpoints.</x:v>
      </x:c>
      <x:c r="B2" s="19"/>
      <x:c r="C2" s="19"/>
      <x:c r="D2" s="19"/>
      <x:c r="E2" s="19"/>
    </x:row>
    <x:row r="3">
      <x:c r="A3" s="19"/>
      <x:c r="B3" s="19"/>
      <x:c r="C3" s="19"/>
      <x:c r="D3" s="19"/>
      <x:c r="E3" s="19"/>
    </x:row>
    <x:row r="4">
      <x:c r="A4" s="16" t="str">
        <x:v>Gate</x:v>
      </x:c>
      <x:c r="B4" s="16" t="str">
        <x:v>When</x:v>
      </x:c>
      <x:c r="C4" s="16" t="str">
        <x:v>Required Participants</x:v>
      </x:c>
      <x:c r="D4" s="16" t="str">
        <x:v>Minimum Entry Criteria</x:v>
      </x:c>
      <x:c r="E4" s="16" t="str">
        <x:v>Exit Evidence</x:v>
      </x:c>
    </x:row>
    <x:row r="5">
      <x:c r="A5" s="17" t="str">
        <x:v>Project Kickoff / Sprint 0</x:v>
      </x:c>
      <x:c r="B5" s="17" t="str">
        <x:v>Before implementation begins</x:v>
      </x:c>
      <x:c r="C5" s="17" t="str">
        <x:v>Product, Cloud Infra, IT Security, DevOps, Architecture</x:v>
      </x:c>
      <x:c r="D5" s="17" t="str">
        <x:v>Business objective, rough architecture, repo plan, timeline, data classification hypothesis</x:v>
      </x:c>
      <x:c r="E5" s="17" t="str">
        <x:v>Kickoff record, initial risk list, review milestones added to plan</x:v>
      </x:c>
    </x:row>
    <x:row r="6">
      <x:c r="A6" s="17" t="str">
        <x:v>Dev Cloud Request</x:v>
      </x:c>
      <x:c r="B6" s="17" t="str">
        <x:v>Before shared cloud dev resources are provisioned</x:v>
      </x:c>
      <x:c r="C6" s="17" t="str">
        <x:v>Product, Cloud Infra, IT Security as needed</x:v>
      </x:c>
      <x:c r="D6" s="17" t="str">
        <x:v>Stable dev branch or repo, owner, cost center, services, network needs, duration, data classification, production path</x:v>
      </x:c>
      <x:c r="E6" s="17" t="str">
        <x:v>Approved request ticket, IaC plan, tags, budget, expiration</x:v>
      </x:c>
    </x:row>
    <x:row r="7">
      <x:c r="A7" s="17" t="str">
        <x:v>Architecture Review</x:v>
      </x:c>
      <x:c r="B7" s="17" t="str">
        <x:v>Before production design freeze</x:v>
      </x:c>
      <x:c r="C7" s="17" t="str">
        <x:v>Architecture, Cloud Infra, Product, Security</x:v>
      </x:c>
      <x:c r="D7" s="17" t="str">
        <x:v>System diagram, data flow, dependencies, IAM model, network design, resiliency needs</x:v>
      </x:c>
      <x:c r="E7" s="17" t="str">
        <x:v>Architecture signoff, ADRs, open actions</x:v>
      </x:c>
    </x:row>
    <x:row r="8">
      <x:c r="A8" s="17" t="str">
        <x:v>Security Review</x:v>
      </x:c>
      <x:c r="B8" s="17" t="str">
        <x:v>Before production release candidate</x:v>
      </x:c>
      <x:c r="C8" s="17" t="str">
        <x:v>IT Security, Product, DevOps, Cloud Infra</x:v>
      </x:c>
      <x:c r="D8" s="17" t="str">
        <x:v>Threat model, scans, secrets approach, logging, IAM, public exposure, data handling</x:v>
      </x:c>
      <x:c r="E8" s="17" t="str">
        <x:v>Security checklist, exceptions, remediation evidence</x:v>
      </x:c>
    </x:row>
    <x:row r="9">
      <x:c r="A9" s="17" t="str">
        <x:v>Operational Readiness</x:v>
      </x:c>
      <x:c r="B9" s="17" t="str">
        <x:v>Before go-live</x:v>
      </x:c>
      <x:c r="C9" s="17" t="str">
        <x:v>SRE/Ops, Product, DevOps, Cloud Infra</x:v>
      </x:c>
      <x:c r="D9" s="17" t="str">
        <x:v>Monitoring, alerts, logs, runbooks, support model, backup/restore as applicable</x:v>
      </x:c>
      <x:c r="E9" s="17" t="str">
        <x:v>Operational readiness signoff, support handoff</x:v>
      </x:c>
    </x:row>
    <x:row r="10">
      <x:c r="A10" s="17" t="str">
        <x:v>Go/No-Go</x:v>
      </x:c>
      <x:c r="B10" s="17" t="str">
        <x:v>Before production deployment</x:v>
      </x:c>
      <x:c r="C10" s="17" t="str">
        <x:v>Product owner, DevOps, Cloud Infra, IT Security, SRE/Ops</x:v>
      </x:c>
      <x:c r="D10" s="17" t="str">
        <x:v>Testing complete, risks accepted, change record ready, rollback plan, CMDB record</x:v>
      </x:c>
      <x:c r="E10" s="17" t="str">
        <x:v>Go/no-go decision, change approval, release notes</x:v>
      </x:c>
    </x:row>
    <x:row r="11">
      <x:c r="A11" s="17" t="str">
        <x:v>Post-Implementation Review</x:v>
      </x:c>
      <x:c r="B11" s="17" t="str">
        <x:v>After go-live or emergency change</x:v>
      </x:c>
      <x:c r="C11" s="17" t="str">
        <x:v>Product, SRE/Ops, Security as needed</x:v>
      </x:c>
      <x:c r="D11" s="17" t="str">
        <x:v>Deployment complete, monitoring stable, incident/issues captured</x:v>
      </x:c>
      <x:c r="E11" s="17" t="str">
        <x:v>PIR notes, action items, control improvements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8d3fd846b164b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80" hidden="0" customWidth="1"/>
    <x:col min="4" max="4" width="42" hidden="0" customWidth="1"/>
  </x:cols>
  <x:sheetData>
    <x:row r="1" ht="28" customHeight="1">
      <x:c r="A1" s="18" t="str">
        <x:v>Transition Roadmap</x:v>
      </x:c>
      <x:c r="B1" s="19"/>
      <x:c r="C1" s="19"/>
      <x:c r="D1" s="19"/>
    </x:row>
    <x:row r="2" ht="28" customHeight="1">
      <x:c r="A2" s="20" t="str">
        <x:v>Pragmatic path from broad standing dev access to least privilege, IaC, JIT exception access, and measurable control evidence.</x:v>
      </x:c>
      <x:c r="B2" s="19"/>
      <x:c r="C2" s="19"/>
      <x:c r="D2" s="19"/>
    </x:row>
    <x:row r="3">
      <x:c r="A3" s="19"/>
      <x:c r="B3" s="19"/>
      <x:c r="C3" s="19"/>
      <x:c r="D3" s="19"/>
    </x:row>
    <x:row r="4">
      <x:c r="A4" s="16" t="str">
        <x:v>Phase</x:v>
      </x:c>
      <x:c r="B4" s="16" t="str">
        <x:v>Timeline</x:v>
      </x:c>
      <x:c r="C4" s="16" t="str">
        <x:v>Key Outcomes</x:v>
      </x:c>
      <x:c r="D4" s="16" t="str">
        <x:v>Primary Owners</x:v>
      </x:c>
    </x:row>
    <x:row r="5">
      <x:c r="A5" s="17" t="str">
        <x:v>0 - Stabilize Current Risk</x:v>
      </x:c>
      <x:c r="B5" s="17" t="str">
        <x:v>0-30 days</x:v>
      </x:c>
      <x:c r="C5" s="17" t="str">
        <x:v>Inventory privileged users; block API key creation where possible; enable spend alerts; identify dev environments used as prod; require new environment tickets.</x:v>
      </x:c>
      <x:c r="D5" s="17" t="str">
        <x:v>Cloud Infra, IT Security</x:v>
      </x:c>
    </x:row>
    <x:row r="6">
      <x:c r="A6" s="17" t="str">
        <x:v>1 - Define Target Model</x:v>
      </x:c>
      <x:c r="B6" s="17" t="str">
        <x:v>30-60 days</x:v>
      </x:c>
      <x:c r="C6" s="17" t="str">
        <x:v>Approve IAM role matrix, request form, exception workflow, service catalog, tagging standard, and minimum release gates.</x:v>
      </x:c>
      <x:c r="D6" s="17" t="str">
        <x:v>Cloud Infra, IT Security, DevOps, Architecture</x:v>
      </x:c>
    </x:row>
    <x:row r="7">
      <x:c r="A7" s="17" t="str">
        <x:v>2 - Build Guardrails</x:v>
      </x:c>
      <x:c r="B7" s="17" t="str">
        <x:v>60-120 days</x:v>
      </x:c>
      <x:c r="C7" s="17" t="str">
        <x:v>Implement IaC templates, policy-as-code, JIT access, mandatory logging, budget controls, CMDB onboarding, and pipeline controls.</x:v>
      </x:c>
      <x:c r="D7" s="17" t="str">
        <x:v>Cloud Infra, DevOps, IT Security</x:v>
      </x:c>
    </x:row>
    <x:row r="8">
      <x:c r="A8" s="17" t="str">
        <x:v>3 - Migrate Teams</x:v>
      </x:c>
      <x:c r="B8" s="17" t="str">
        <x:v>120-180 days</x:v>
      </x:c>
      <x:c r="C8" s="17" t="str">
        <x:v>Move teams from broad standing dev access to pipeline/JIT model; remediate unmanaged resources; onboard services to CMDB.</x:v>
      </x:c>
      <x:c r="D8" s="17" t="str">
        <x:v>Product Teams, Cloud Infra</x:v>
      </x:c>
    </x:row>
    <x:row r="9">
      <x:c r="A9" s="17" t="str">
        <x:v>4 - Validate and Improve</x:v>
      </x:c>
      <x:c r="B9" s="17" t="str">
        <x:v>Ongoing</x:v>
      </x:c>
      <x:c r="C9" s="17" t="str">
        <x:v>Quarterly access reviews, control testing, maturity dashboard, exception aging, cost and drift reviews.</x:v>
      </x:c>
      <x:c r="D9" s="17" t="str">
        <x:v>IT Security, Cloud Infra, SRE/Ops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71f56018257c40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28" hidden="0" customWidth="1"/>
    <x:col min="4" max="4" width="28" hidden="0" customWidth="1"/>
  </x:cols>
  <x:sheetData>
    <x:row r="1" ht="28" customHeight="1">
      <x:c r="A1" s="18" t="str">
        <x:v>Evidence and Metrics</x:v>
      </x:c>
      <x:c r="B1" s="19"/>
      <x:c r="C1" s="19"/>
      <x:c r="D1" s="19"/>
    </x:row>
    <x:row r="2" ht="28" customHeight="1">
      <x:c r="A2" s="20" t="str">
        <x:v>Suggested evidence sources and recurring metrics for audit, governance, and maturity reporting.</x:v>
      </x:c>
      <x:c r="B2" s="19"/>
      <x:c r="C2" s="19"/>
      <x:c r="D2" s="19"/>
    </x:row>
    <x:row r="3">
      <x:c r="A3" s="19"/>
      <x:c r="B3" s="19"/>
      <x:c r="C3" s="19"/>
      <x:c r="D3" s="19"/>
    </x:row>
    <x:row r="4">
      <x:c r="A4" s="16" t="str">
        <x:v>Evidence Area</x:v>
      </x:c>
      <x:c r="B4" s="16" t="str">
        <x:v>Examples</x:v>
      </x:c>
      <x:c r="C4" s="16" t="str">
        <x:v>Cadence</x:v>
      </x:c>
      <x:c r="D4" s="16" t="str">
        <x:v>System of Record</x:v>
      </x:c>
    </x:row>
    <x:row r="5">
      <x:c r="A5" s="17" t="str">
        <x:v>IAM and access</x:v>
      </x:c>
      <x:c r="B5" s="17" t="str">
        <x:v>Role definitions, access review, JIT approvals, break-glass logs, revoked access report</x:v>
      </x:c>
      <x:c r="C5" s="17" t="str">
        <x:v>Monthly/Quarterly</x:v>
      </x:c>
      <x:c r="D5" s="17" t="str">
        <x:v>IAM/PAM, ticketing, SIEM</x:v>
      </x:c>
    </x:row>
    <x:row r="6">
      <x:c r="A6" s="17" t="str">
        <x:v>Cloud provisioning</x:v>
      </x:c>
      <x:c r="B6" s="17" t="str">
        <x:v>IaC PRs, policy-as-code results, pipeline plan/apply logs, drift reports</x:v>
      </x:c>
      <x:c r="C6" s="17" t="str">
        <x:v>Each change/Weekly</x:v>
      </x:c>
      <x:c r="D6" s="17" t="str">
        <x:v>Git, CI/CD, cloud config tools</x:v>
      </x:c>
    </x:row>
    <x:row r="7">
      <x:c r="A7" s="17" t="str">
        <x:v>Architecture/security</x:v>
      </x:c>
      <x:c r="B7" s="17" t="str">
        <x:v>Architecture review, threat model, scan results, security signoff, exception register</x:v>
      </x:c>
      <x:c r="C7" s="17" t="str">
        <x:v>Each release</x:v>
      </x:c>
      <x:c r="D7" s="17" t="str">
        <x:v>Ticketing/GRC/wiki</x:v>
      </x:c>
    </x:row>
    <x:row r="8">
      <x:c r="A8" s="17" t="str">
        <x:v>Operations</x:v>
      </x:c>
      <x:c r="B8" s="17" t="str">
        <x:v>Monitoring dashboard, alert catalog, runbooks, support model, incident/RCA records</x:v>
      </x:c>
      <x:c r="C8" s="17" t="str">
        <x:v>Each release/Monthly</x:v>
      </x:c>
      <x:c r="D8" s="17" t="str">
        <x:v>Observability, ITSM</x:v>
      </x:c>
    </x:row>
    <x:row r="9">
      <x:c r="A9" s="17" t="str">
        <x:v>Inventory and cost</x:v>
      </x:c>
      <x:c r="B9" s="17" t="str">
        <x:v>CMDB records, tag compliance, resource reconciliation, budget alerts, orphan resource report</x:v>
      </x:c>
      <x:c r="C9" s="17" t="str">
        <x:v>Monthly</x:v>
      </x:c>
      <x:c r="D9" s="17" t="str">
        <x:v>CMDB, cloud billing, cloud cost management</x:v>
      </x:c>
    </x:row>
    <x:row r="10">
      <x:c r="A10" s="17" t="str">
        <x:v>Third-party/license</x:v>
      </x:c>
      <x:c r="B10" s="17" t="str">
        <x:v>SBOM, SCA report, license scan, vendor support status, risk review</x:v>
      </x:c>
      <x:c r="C10" s="17" t="str">
        <x:v>Each release/Quarterly</x:v>
      </x:c>
      <x:c r="D10" s="17" t="str">
        <x:v>SCA tool, vendor risk system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f8672f69b6c4d42"/>
  </x:tableParts>
</x:worksheet>
</file>